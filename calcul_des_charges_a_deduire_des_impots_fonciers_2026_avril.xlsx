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uve pkback 001\PKBACK# 001\Gestion Robert\Comptabilité Mara47\"/>
    </mc:Choice>
  </mc:AlternateContent>
  <bookViews>
    <workbookView xWindow="0" yWindow="0" windowWidth="23040" windowHeight="9780"/>
  </bookViews>
  <sheets>
    <sheet name="Charges à Déduire" sheetId="1" r:id="rId1"/>
    <sheet name="Compte d'Exploitation" sheetId="2" r:id="rId2"/>
    <sheet name="Bilan" sheetId="3" r:id="rId3"/>
    <sheet name="Trésorerie Prévisionnelle" sheetId="4" r:id="rId4"/>
  </sheets>
  <definedNames>
    <definedName name="Débutexercicecomptable">'Trésorerie Prévisionnelle'!$B$4</definedName>
  </definedNames>
  <calcPr calcId="162913"/>
</workbook>
</file>

<file path=xl/calcChain.xml><?xml version="1.0" encoding="utf-8"?>
<calcChain xmlns="http://schemas.openxmlformats.org/spreadsheetml/2006/main">
  <c r="M15" i="1" l="1"/>
  <c r="L15" i="1"/>
  <c r="K15" i="1"/>
  <c r="J15" i="1"/>
  <c r="I15" i="1"/>
  <c r="H15" i="1"/>
  <c r="G15" i="1"/>
  <c r="F15" i="1"/>
  <c r="E15" i="1"/>
  <c r="D15" i="1"/>
  <c r="C15" i="1"/>
  <c r="B15" i="1"/>
  <c r="A1" i="1" l="1"/>
  <c r="P21" i="4" l="1"/>
  <c r="O21" i="4"/>
  <c r="N21" i="4"/>
  <c r="M21" i="4"/>
  <c r="L21" i="4"/>
  <c r="K21" i="4"/>
  <c r="J21" i="4"/>
  <c r="I21" i="4"/>
  <c r="L1" i="2" l="1"/>
  <c r="A2" i="3"/>
  <c r="M19" i="1" l="1"/>
  <c r="L19" i="1"/>
  <c r="P28" i="4"/>
  <c r="O28" i="4"/>
  <c r="R21" i="1" l="1"/>
  <c r="R20" i="1"/>
  <c r="P18" i="1"/>
  <c r="R17" i="1"/>
  <c r="P17" i="1"/>
  <c r="O15" i="1" l="1"/>
  <c r="I11" i="2" s="1"/>
  <c r="O22" i="1"/>
  <c r="I10" i="2" s="1"/>
  <c r="O19" i="1" l="1"/>
  <c r="I15" i="2" s="1"/>
  <c r="B19" i="1"/>
  <c r="N1" i="4" l="1"/>
  <c r="P41" i="4" l="1"/>
  <c r="O41" i="4"/>
  <c r="N41" i="4"/>
  <c r="M41" i="4"/>
  <c r="L41" i="4"/>
  <c r="K41" i="4"/>
  <c r="J41" i="4"/>
  <c r="I41" i="4"/>
  <c r="H41" i="4"/>
  <c r="G41" i="4"/>
  <c r="F41" i="4"/>
  <c r="E41" i="4"/>
  <c r="D41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R39" i="4"/>
  <c r="R38" i="4"/>
  <c r="R37" i="4"/>
  <c r="R36" i="4"/>
  <c r="R35" i="4"/>
  <c r="R40" i="4" s="1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R30" i="4"/>
  <c r="R29" i="4"/>
  <c r="R28" i="4"/>
  <c r="R27" i="4"/>
  <c r="R26" i="4"/>
  <c r="R25" i="4"/>
  <c r="R24" i="4"/>
  <c r="R23" i="4"/>
  <c r="R22" i="4"/>
  <c r="R21" i="4"/>
  <c r="R20" i="4"/>
  <c r="D16" i="4"/>
  <c r="D43" i="4" s="1"/>
  <c r="E6" i="4" s="1"/>
  <c r="E16" i="4" s="1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R14" i="4"/>
  <c r="R13" i="4"/>
  <c r="R12" i="4"/>
  <c r="R11" i="4"/>
  <c r="R10" i="4"/>
  <c r="R15" i="4" s="1"/>
  <c r="F4" i="4"/>
  <c r="G4" i="4" s="1"/>
  <c r="H4" i="4" s="1"/>
  <c r="I4" i="4" s="1"/>
  <c r="J4" i="4" s="1"/>
  <c r="K4" i="4" s="1"/>
  <c r="L4" i="4" s="1"/>
  <c r="M4" i="4" s="1"/>
  <c r="N4" i="4" s="1"/>
  <c r="O4" i="4" s="1"/>
  <c r="P4" i="4" s="1"/>
  <c r="E4" i="4"/>
  <c r="P3" i="4"/>
  <c r="O3" i="4"/>
  <c r="N3" i="4"/>
  <c r="M3" i="4"/>
  <c r="L3" i="4"/>
  <c r="K3" i="4"/>
  <c r="J3" i="4"/>
  <c r="I3" i="4"/>
  <c r="H3" i="4"/>
  <c r="G3" i="4"/>
  <c r="F3" i="4"/>
  <c r="E3" i="4"/>
  <c r="D21" i="3"/>
  <c r="K12" i="3"/>
  <c r="K11" i="3"/>
  <c r="K10" i="3"/>
  <c r="K9" i="3"/>
  <c r="K8" i="3"/>
  <c r="K7" i="3"/>
  <c r="I14" i="2"/>
  <c r="I13" i="2"/>
  <c r="I12" i="2"/>
  <c r="R41" i="4" l="1"/>
  <c r="R31" i="4"/>
  <c r="E43" i="4"/>
  <c r="F6" i="4" s="1"/>
  <c r="F16" i="4" s="1"/>
  <c r="F43" i="4" s="1"/>
  <c r="G6" i="4" s="1"/>
  <c r="G16" i="4" s="1"/>
  <c r="G43" i="4" s="1"/>
  <c r="H6" i="4" s="1"/>
  <c r="H16" i="4" s="1"/>
  <c r="H43" i="4" s="1"/>
  <c r="I6" i="4" s="1"/>
  <c r="I16" i="4" s="1"/>
  <c r="I43" i="4" s="1"/>
  <c r="J6" i="4" s="1"/>
  <c r="J16" i="4" s="1"/>
  <c r="J43" i="4" s="1"/>
  <c r="K6" i="4" s="1"/>
  <c r="K16" i="4" s="1"/>
  <c r="K43" i="4" s="1"/>
  <c r="L6" i="4" s="1"/>
  <c r="L16" i="4" s="1"/>
  <c r="L43" i="4" s="1"/>
  <c r="M6" i="4" s="1"/>
  <c r="M16" i="4" s="1"/>
  <c r="M43" i="4" s="1"/>
  <c r="N6" i="4" s="1"/>
  <c r="N16" i="4" s="1"/>
  <c r="N43" i="4" s="1"/>
  <c r="O6" i="4" s="1"/>
  <c r="O16" i="4" s="1"/>
  <c r="O43" i="4" s="1"/>
  <c r="P6" i="4" s="1"/>
  <c r="R6" i="4" l="1"/>
  <c r="R16" i="4" s="1"/>
  <c r="R43" i="4" s="1"/>
  <c r="P16" i="4"/>
  <c r="P43" i="4" s="1"/>
  <c r="O11" i="1" l="1"/>
  <c r="I9" i="2" s="1"/>
  <c r="I20" i="2" s="1"/>
  <c r="R18" i="1" l="1"/>
  <c r="R25" i="1"/>
  <c r="P8" i="1" l="1"/>
  <c r="B11" i="2" s="1"/>
  <c r="P23" i="1" l="1"/>
  <c r="P9" i="1" l="1"/>
  <c r="P13" i="1" s="1"/>
  <c r="B13" i="2" s="1"/>
  <c r="P7" i="1"/>
  <c r="B9" i="2" s="1"/>
  <c r="B20" i="2" l="1"/>
  <c r="D22" i="2" s="1"/>
  <c r="K16" i="3" s="1"/>
  <c r="K21" i="3" s="1"/>
  <c r="G22" i="3" s="1"/>
  <c r="R13" i="1"/>
  <c r="P12" i="1"/>
  <c r="P14" i="1" s="1"/>
  <c r="R14" i="1" s="1"/>
  <c r="R12" i="1" l="1"/>
  <c r="O20" i="1"/>
</calcChain>
</file>

<file path=xl/comments1.xml><?xml version="1.0" encoding="utf-8"?>
<comments xmlns="http://schemas.openxmlformats.org/spreadsheetml/2006/main">
  <authors>
    <author>Robert</author>
  </authors>
  <commentList>
    <comment ref="B16" authorId="0" shapeId="0">
      <text>
        <r>
          <rPr>
            <b/>
            <sz val="9"/>
            <color indexed="81"/>
            <rFont val="Tahoma"/>
            <family val="2"/>
          </rPr>
          <t>La taxe foncière est sur l'avis adressé à MARA47 à l'adresse 9014 RUE DE RODRIGUES
Le montant que l'on peut déduire est égale à: Mt part commune + Mt part département + 3% de cette somme pour frais de roles + 8 % du montant de la TEOM (taxe d'enlèvement des ordures ménagères)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La taxe foncière est sur l'avis adressé à MARA47 à l'adresse 1456 AV DE COLMAR
Le montant que l'on peut déduire est égale à: Mt part commune + Mt part département + 3% de cette somme pour frais de roles + 8 % du montant de la TEOM (taxe d'enlèvement des ordures ménagères)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Il n'y a pas de détail pour JC Bridet. Tout est regroupé sur Abreu Salgado.
Il ne faut pas prendre en compte le 9016 RUE DE RODRIGUES, qui correspond à la maison 545 RUE DE RODRIGUES (non louée)</t>
        </r>
      </text>
    </comment>
    <comment ref="K24" authorId="0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5 jours débroussaillage
</t>
        </r>
      </text>
    </comment>
  </commentList>
</comments>
</file>

<file path=xl/comments2.xml><?xml version="1.0" encoding="utf-8"?>
<comments xmlns="http://schemas.openxmlformats.org/spreadsheetml/2006/main">
  <authors>
    <author>Robert</author>
  </authors>
  <commentList>
    <comment ref="H15" authorId="0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Ce sont uniquement les frais facturés par la banque .
</t>
        </r>
      </text>
    </comment>
  </commentList>
</comments>
</file>

<file path=xl/comments3.xml><?xml version="1.0" encoding="utf-8"?>
<comments xmlns="http://schemas.openxmlformats.org/spreadsheetml/2006/main">
  <authors>
    <author>Auteur</author>
    <author>Robert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Montant de la banque à la clotûre de l'exercice précédent,
Ce montant inclut le montant de la cagnotte ainsi que la caution de Bréna (ces 2 montants sont réservés !)
</t>
        </r>
      </text>
    </comment>
    <comment ref="E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</t>
        </r>
      </text>
    </comment>
    <comment ref="F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</t>
        </r>
      </text>
    </comment>
    <comment ref="G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</t>
        </r>
      </text>
    </comment>
    <comment ref="I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 + salon + hangar</t>
        </r>
      </text>
    </comment>
    <comment ref="J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 + salon + hangar</t>
        </r>
      </text>
    </comment>
    <comment ref="K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 + salon + hangar</t>
        </r>
      </text>
    </comment>
    <comment ref="L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 + salon + hangar</t>
        </r>
      </text>
    </comment>
    <comment ref="M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 + salon + hangar</t>
        </r>
      </text>
    </comment>
    <comment ref="N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 + salon + hangar</t>
        </r>
      </text>
    </comment>
    <comment ref="O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 + salon + hangar</t>
        </r>
      </text>
    </comment>
    <comment ref="P21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maison 545 + salon + hangar</t>
        </r>
      </text>
    </comment>
    <comment ref="H22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Q4 2
025</t>
        </r>
      </text>
    </comment>
    <comment ref="I22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Q1 2026</t>
        </r>
      </text>
    </comment>
    <comment ref="J22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Q2 2026</t>
        </r>
      </text>
    </comment>
    <comment ref="L22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Q3 2026</t>
        </r>
      </text>
    </comment>
    <comment ref="O22" authorId="1" shapeId="0">
      <text>
        <r>
          <rPr>
            <b/>
            <sz val="9"/>
            <color indexed="81"/>
            <rFont val="Tahoma"/>
            <charset val="1"/>
          </rPr>
          <t>Robert:</t>
        </r>
        <r>
          <rPr>
            <sz val="9"/>
            <color indexed="81"/>
            <rFont val="Tahoma"/>
            <charset val="1"/>
          </rPr>
          <t xml:space="preserve">
Q4 2026</t>
        </r>
      </text>
    </comment>
  </commentList>
</comments>
</file>

<file path=xl/sharedStrings.xml><?xml version="1.0" encoding="utf-8"?>
<sst xmlns="http://schemas.openxmlformats.org/spreadsheetml/2006/main" count="134" uniqueCount="126">
  <si>
    <t>Janvier</t>
  </si>
  <si>
    <t>Février</t>
  </si>
  <si>
    <t>Mars</t>
  </si>
  <si>
    <t>Avril</t>
  </si>
  <si>
    <t>Mai</t>
  </si>
  <si>
    <t>Juin</t>
  </si>
  <si>
    <t>Juillet</t>
  </si>
  <si>
    <t>Août</t>
  </si>
  <si>
    <t>Taxes foncières SCI 430 rue Rodrigues</t>
  </si>
  <si>
    <t>Taxes foncières SCI Avenue de Colmar</t>
  </si>
  <si>
    <t>Sept.</t>
  </si>
  <si>
    <t>Oct.</t>
  </si>
  <si>
    <t>Nov.</t>
  </si>
  <si>
    <t>Déc.</t>
  </si>
  <si>
    <t>Revenus 430</t>
  </si>
  <si>
    <t>Revenus Colmar</t>
  </si>
  <si>
    <t>Tot frais indivision</t>
  </si>
  <si>
    <t>En vert, les revenus bruts hors TVA</t>
  </si>
  <si>
    <t>AXEO ménage St Bauzille</t>
  </si>
  <si>
    <t>Cesu Sébastien BROSSE</t>
  </si>
  <si>
    <t>Tot frais St Bau</t>
  </si>
  <si>
    <t>Revenus bruts</t>
  </si>
  <si>
    <t>Les 2 lignes ci-dessus ne concernent que Saint Bauzille de Montmel</t>
  </si>
  <si>
    <t xml:space="preserve"> </t>
  </si>
  <si>
    <t>Taxes foncières 526 rue Rodrigues (Bréna)</t>
  </si>
  <si>
    <t>Rev. bruts SCI (hors TVA)</t>
  </si>
  <si>
    <t>Rev.  bruts indivision</t>
  </si>
  <si>
    <t>Assurance PNO 545 Rodrigues</t>
  </si>
  <si>
    <t>Assurances PNO indivision hangar</t>
  </si>
  <si>
    <t>Assurances PNO SCI (salon)</t>
  </si>
  <si>
    <t>Revenu net SCI</t>
  </si>
  <si>
    <t>Demi part</t>
  </si>
  <si>
    <t>Ass PNO SCI</t>
  </si>
  <si>
    <t>Ass PNO indivision</t>
  </si>
  <si>
    <t>Taxes foncières SCI</t>
  </si>
  <si>
    <t>Taxes foncieres indivis,</t>
  </si>
  <si>
    <t>Revenus SCI Colmar (hors TVA)</t>
  </si>
  <si>
    <t xml:space="preserve">Revenus SCI Verdier </t>
  </si>
  <si>
    <t xml:space="preserve">Revenus Indivision Bréna </t>
  </si>
  <si>
    <t>Revenus 526 Bréna</t>
  </si>
  <si>
    <t>Tot frais SCI</t>
  </si>
  <si>
    <t>Entretien Espaces verts</t>
  </si>
  <si>
    <t>Taxes foncières indivision 545</t>
  </si>
  <si>
    <t>REVENUS</t>
  </si>
  <si>
    <t>DEPENSES</t>
  </si>
  <si>
    <t>SCI Salon</t>
  </si>
  <si>
    <t>SCI Colmar</t>
  </si>
  <si>
    <t>TOTAL</t>
  </si>
  <si>
    <t>Entretien</t>
  </si>
  <si>
    <t>Ass. PNO</t>
  </si>
  <si>
    <t>EDF</t>
  </si>
  <si>
    <t>TF Salon</t>
  </si>
  <si>
    <t>TFColmar</t>
  </si>
  <si>
    <t>TF 545</t>
  </si>
  <si>
    <t>Frais banque</t>
  </si>
  <si>
    <t>Apport gérants</t>
  </si>
  <si>
    <t>Indivision Hangar</t>
  </si>
  <si>
    <t>Remb gérants</t>
  </si>
  <si>
    <t xml:space="preserve">Vente mobilier </t>
  </si>
  <si>
    <t>Total assurances Agen</t>
  </si>
  <si>
    <t>PASSIF</t>
  </si>
  <si>
    <t>ACTIF</t>
  </si>
  <si>
    <t>Immobilisations indivision</t>
  </si>
  <si>
    <t>Terrain</t>
  </si>
  <si>
    <t>Salon coiffure</t>
  </si>
  <si>
    <t>Entrepot</t>
  </si>
  <si>
    <t>Fonds propres</t>
  </si>
  <si>
    <t>SCI mara47</t>
  </si>
  <si>
    <t>Actifs circulants</t>
  </si>
  <si>
    <t>Banque</t>
  </si>
  <si>
    <t>Trésorerie initiale</t>
  </si>
  <si>
    <t>Remboursement impôts</t>
  </si>
  <si>
    <t>Robert</t>
  </si>
  <si>
    <t>6 parts</t>
  </si>
  <si>
    <t>Michel</t>
  </si>
  <si>
    <t>Laurence</t>
  </si>
  <si>
    <t>22 parts</t>
  </si>
  <si>
    <t>Patrick</t>
  </si>
  <si>
    <t>Entrepôt</t>
  </si>
  <si>
    <t>Candice</t>
  </si>
  <si>
    <t>Yanis</t>
  </si>
  <si>
    <t>Michel/Robert</t>
  </si>
  <si>
    <t>Résultat net comptable</t>
  </si>
  <si>
    <t xml:space="preserve">                                       Compte d'exploitation</t>
  </si>
  <si>
    <t>Début exercice comptable :</t>
  </si>
  <si>
    <t>(Pré) démarrage</t>
  </si>
  <si>
    <t>Total</t>
  </si>
  <si>
    <t>Estimation</t>
  </si>
  <si>
    <t>Estimation des éléments</t>
  </si>
  <si>
    <t>Trésorerie disponible (début du mois)</t>
  </si>
  <si>
    <t>Encaissements</t>
  </si>
  <si>
    <t>SCI loyer salon de coiffure</t>
  </si>
  <si>
    <t xml:space="preserve">SCI loyer terrain av de  Colmar </t>
  </si>
  <si>
    <t>Indivision loyer hangar</t>
  </si>
  <si>
    <t>Prêts des gérants</t>
  </si>
  <si>
    <t>Recettes diverses</t>
  </si>
  <si>
    <t>Total de trésorerie disponible (avant décaissement)</t>
  </si>
  <si>
    <t>Décaissements</t>
  </si>
  <si>
    <t>EDF maison 545</t>
  </si>
  <si>
    <t>Toutes assurances pno</t>
  </si>
  <si>
    <t>Entretien extérieurs</t>
  </si>
  <si>
    <t>Taxe foncière SCI salon</t>
  </si>
  <si>
    <t>Taxe foncière SCI terrain Av de Colmar</t>
  </si>
  <si>
    <t>Taxe foncière maison 545</t>
  </si>
  <si>
    <t>Réparations et entretien biens loués</t>
  </si>
  <si>
    <t xml:space="preserve">Remboursement de prêt à la SCI </t>
  </si>
  <si>
    <t>Divers</t>
  </si>
  <si>
    <t>Décaissements (hors compte de résultat)</t>
  </si>
  <si>
    <t>Remboursement du capital d’un prêt</t>
  </si>
  <si>
    <t>Achat d’immobilisations (préciser)</t>
  </si>
  <si>
    <t>Autres frais de démarrage</t>
  </si>
  <si>
    <t>Compte sous séquestre</t>
  </si>
  <si>
    <t>Retrait du propriétaire</t>
  </si>
  <si>
    <t>Total des décaissements</t>
  </si>
  <si>
    <t>Position de trésorerie (fin de mois)</t>
  </si>
  <si>
    <t>Le compte d'exploitation prend en considération tous les encaissements et décaissements du patrimoine que nous possédons à AGEN</t>
  </si>
  <si>
    <t>(SCI, Entrepôt et frais associés à la maison du 545)</t>
  </si>
  <si>
    <t>IMPORTANT ====&gt;</t>
  </si>
  <si>
    <t>Montant des frais  à déduire des revenus fonciers pour 2025 (déclaration 2044)</t>
  </si>
  <si>
    <t>Frais de banque (pour Cpte Expl)</t>
  </si>
  <si>
    <t>Frais EDF maison 545</t>
  </si>
  <si>
    <r>
      <t xml:space="preserve">Flux de trésorerie </t>
    </r>
    <r>
      <rPr>
        <b/>
        <sz val="28"/>
        <color theme="1"/>
        <rFont val="Calibri Light"/>
        <family val="2"/>
        <scheme val="major"/>
      </rPr>
      <t>Relevé</t>
    </r>
  </si>
  <si>
    <t>Frais de banque</t>
  </si>
  <si>
    <t>Total Rev bruts</t>
  </si>
  <si>
    <t>Prise de Bénéfices par les co-gérants</t>
  </si>
  <si>
    <r>
      <t>Bilan 2026 (</t>
    </r>
    <r>
      <rPr>
        <b/>
        <sz val="18"/>
        <color theme="1"/>
        <rFont val="Calibri"/>
        <family val="2"/>
        <scheme val="minor"/>
      </rPr>
      <t>Patrimoine AGEN, hors maison 545 rue Rodrigues)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</si>
</sst>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m"/>
    <numFmt numFmtId="165" formatCode="dd"/>
    <numFmt numFmtId="166" formatCode="0_);\-0_)"/>
    <numFmt numFmtId="167" formatCode="[$-F800]dddd\,\ mmmm\ dd\,\ yyyy"/>
    <numFmt numFmtId="168" formatCode="[$-40C]d\-mmm\-yy;@"/>
    <numFmt numFmtId="169" formatCode="0.00_ ;\-0.00\ 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8"/>
      <color theme="1" tint="0.14996795556505021"/>
      <name val="Calibri Light"/>
      <family val="2"/>
      <scheme val="major"/>
    </font>
    <font>
      <sz val="10"/>
      <color theme="1" tint="0.14999847407452621"/>
      <name val="Calibri"/>
      <family val="2"/>
      <scheme val="minor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8"/>
      <name val="Calibri"/>
      <family val="2"/>
      <scheme val="minor"/>
    </font>
    <font>
      <b/>
      <u/>
      <sz val="11"/>
      <color theme="8"/>
      <name val="Calibri"/>
      <family val="2"/>
    </font>
    <font>
      <b/>
      <sz val="10"/>
      <color theme="1" tint="0.14999847407452621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b/>
      <sz val="28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outline/>
      <shadow/>
      <sz val="10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theme="1" tint="0.14996795556505021"/>
      </bottom>
      <diagonal/>
    </border>
    <border>
      <left/>
      <right/>
      <top/>
      <bottom style="thin">
        <color theme="0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theme="0"/>
      </top>
      <bottom style="thin">
        <color theme="0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ck">
        <color theme="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dotted">
        <color theme="0" tint="-0.34998626667073579"/>
      </right>
      <top/>
      <bottom style="medium">
        <color theme="4" tint="0.39994506668294322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medium">
        <color theme="4" tint="0.39994506668294322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dotted">
        <color theme="0" tint="-0.34998626667073579"/>
      </left>
      <right/>
      <top style="thin">
        <color theme="0"/>
      </top>
      <bottom style="thin">
        <color theme="0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1" fillId="0" borderId="2" applyNumberFormat="0" applyFill="0" applyAlignment="0" applyProtection="0"/>
    <xf numFmtId="164" fontId="24" fillId="0" borderId="5">
      <alignment horizontal="right" vertical="center" wrapText="1" indent="1"/>
    </xf>
    <xf numFmtId="166" fontId="25" fillId="11" borderId="10" applyFont="0" applyAlignment="0">
      <alignment vertical="center"/>
    </xf>
  </cellStyleXfs>
  <cellXfs count="115">
    <xf numFmtId="0" fontId="0" fillId="0" borderId="0" xfId="0"/>
    <xf numFmtId="0" fontId="2" fillId="0" borderId="0" xfId="0" applyFont="1"/>
    <xf numFmtId="2" fontId="0" fillId="0" borderId="0" xfId="0" applyNumberFormat="1"/>
    <xf numFmtId="2" fontId="0" fillId="2" borderId="0" xfId="0" applyNumberFormat="1" applyFill="1"/>
    <xf numFmtId="1" fontId="3" fillId="0" borderId="0" xfId="1" applyNumberFormat="1" applyAlignment="1" applyProtection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8" fillId="3" borderId="0" xfId="0" applyFont="1" applyFill="1"/>
    <xf numFmtId="0" fontId="8" fillId="4" borderId="0" xfId="0" applyFont="1" applyFill="1"/>
    <xf numFmtId="0" fontId="8" fillId="6" borderId="0" xfId="0" applyFont="1" applyFill="1"/>
    <xf numFmtId="2" fontId="9" fillId="2" borderId="0" xfId="0" applyNumberFormat="1" applyFont="1" applyFill="1"/>
    <xf numFmtId="0" fontId="8" fillId="5" borderId="0" xfId="0" applyFont="1" applyFill="1"/>
    <xf numFmtId="0" fontId="8" fillId="7" borderId="0" xfId="0" applyFont="1" applyFill="1"/>
    <xf numFmtId="0" fontId="1" fillId="8" borderId="0" xfId="0" applyFont="1" applyFill="1"/>
    <xf numFmtId="1" fontId="11" fillId="0" borderId="0" xfId="1" applyNumberFormat="1" applyFont="1" applyAlignment="1" applyProtection="1"/>
    <xf numFmtId="0" fontId="10" fillId="0" borderId="0" xfId="0" applyFont="1"/>
    <xf numFmtId="2" fontId="10" fillId="0" borderId="0" xfId="0" applyNumberFormat="1" applyFont="1"/>
    <xf numFmtId="0" fontId="10" fillId="8" borderId="0" xfId="0" applyFont="1" applyFill="1"/>
    <xf numFmtId="0" fontId="0" fillId="0" borderId="0" xfId="0" applyAlignment="1">
      <alignment horizontal="center"/>
    </xf>
    <xf numFmtId="2" fontId="12" fillId="8" borderId="0" xfId="0" applyNumberFormat="1" applyFont="1" applyFill="1"/>
    <xf numFmtId="0" fontId="1" fillId="0" borderId="0" xfId="0" applyFont="1" applyAlignment="1">
      <alignment wrapText="1"/>
    </xf>
    <xf numFmtId="2" fontId="12" fillId="7" borderId="0" xfId="0" applyNumberFormat="1" applyFont="1" applyFill="1"/>
    <xf numFmtId="2" fontId="12" fillId="3" borderId="0" xfId="0" applyNumberFormat="1" applyFont="1" applyFill="1"/>
    <xf numFmtId="0" fontId="12" fillId="4" borderId="0" xfId="0" applyFont="1" applyFill="1"/>
    <xf numFmtId="0" fontId="12" fillId="6" borderId="0" xfId="0" applyFont="1" applyFill="1"/>
    <xf numFmtId="2" fontId="12" fillId="5" borderId="0" xfId="0" applyNumberFormat="1" applyFont="1" applyFill="1"/>
    <xf numFmtId="1" fontId="0" fillId="0" borderId="0" xfId="0" applyNumberFormat="1"/>
    <xf numFmtId="0" fontId="13" fillId="0" borderId="0" xfId="0" applyFont="1"/>
    <xf numFmtId="2" fontId="13" fillId="0" borderId="0" xfId="0" applyNumberFormat="1" applyFont="1"/>
    <xf numFmtId="0" fontId="1" fillId="0" borderId="0" xfId="0" applyFont="1" applyAlignment="1"/>
    <xf numFmtId="1" fontId="13" fillId="0" borderId="0" xfId="0" applyNumberFormat="1" applyFont="1"/>
    <xf numFmtId="1" fontId="1" fillId="0" borderId="0" xfId="0" applyNumberFormat="1" applyFont="1"/>
    <xf numFmtId="2" fontId="14" fillId="0" borderId="0" xfId="0" applyNumberFormat="1" applyFont="1"/>
    <xf numFmtId="0" fontId="0" fillId="9" borderId="0" xfId="0" applyFill="1"/>
    <xf numFmtId="0" fontId="15" fillId="9" borderId="0" xfId="0" applyFont="1" applyFill="1"/>
    <xf numFmtId="0" fontId="1" fillId="0" borderId="1" xfId="0" applyFont="1" applyBorder="1"/>
    <xf numFmtId="0" fontId="1" fillId="0" borderId="0" xfId="0" applyFont="1" applyBorder="1"/>
    <xf numFmtId="2" fontId="1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2" fillId="0" borderId="0" xfId="0" applyFont="1"/>
    <xf numFmtId="0" fontId="0" fillId="0" borderId="0" xfId="0" applyAlignment="1">
      <alignment vertical="center"/>
    </xf>
    <xf numFmtId="0" fontId="0" fillId="0" borderId="0" xfId="0" applyAlignment="1"/>
    <xf numFmtId="0" fontId="23" fillId="0" borderId="9" xfId="0" applyFont="1" applyFill="1" applyBorder="1" applyAlignment="1"/>
    <xf numFmtId="2" fontId="29" fillId="0" borderId="0" xfId="0" applyNumberFormat="1" applyFont="1"/>
    <xf numFmtId="0" fontId="28" fillId="0" borderId="14" xfId="0" applyFont="1" applyBorder="1"/>
    <xf numFmtId="2" fontId="1" fillId="10" borderId="0" xfId="0" applyNumberFormat="1" applyFont="1" applyFill="1"/>
    <xf numFmtId="1" fontId="1" fillId="10" borderId="0" xfId="0" applyNumberFormat="1" applyFont="1" applyFill="1"/>
    <xf numFmtId="0" fontId="1" fillId="10" borderId="0" xfId="0" applyFont="1" applyFill="1"/>
    <xf numFmtId="0" fontId="1" fillId="0" borderId="15" xfId="0" applyFont="1" applyBorder="1"/>
    <xf numFmtId="0" fontId="2" fillId="0" borderId="16" xfId="0" applyFont="1" applyBorder="1"/>
    <xf numFmtId="167" fontId="0" fillId="0" borderId="0" xfId="0" applyNumberFormat="1"/>
    <xf numFmtId="167" fontId="1" fillId="0" borderId="0" xfId="0" applyNumberFormat="1" applyFont="1" applyAlignment="1">
      <alignment horizontal="left"/>
    </xf>
    <xf numFmtId="2" fontId="15" fillId="9" borderId="0" xfId="0" applyNumberFormat="1" applyFont="1" applyFill="1"/>
    <xf numFmtId="0" fontId="32" fillId="0" borderId="0" xfId="0" applyFont="1"/>
    <xf numFmtId="2" fontId="32" fillId="0" borderId="0" xfId="0" applyNumberFormat="1" applyFont="1"/>
    <xf numFmtId="2" fontId="33" fillId="0" borderId="0" xfId="1" applyNumberFormat="1" applyFont="1" applyAlignment="1" applyProtection="1"/>
    <xf numFmtId="0" fontId="1" fillId="0" borderId="3" xfId="0" applyFont="1" applyBorder="1" applyAlignment="1">
      <alignment vertical="center"/>
    </xf>
    <xf numFmtId="168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10" borderId="4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10" borderId="8" xfId="0" applyFont="1" applyFill="1" applyBorder="1" applyAlignment="1">
      <alignment vertical="center"/>
    </xf>
    <xf numFmtId="166" fontId="1" fillId="10" borderId="8" xfId="0" applyNumberFormat="1" applyFont="1" applyFill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10" borderId="11" xfId="0" applyFont="1" applyFill="1" applyBorder="1" applyAlignment="1">
      <alignment vertical="center"/>
    </xf>
    <xf numFmtId="166" fontId="8" fillId="0" borderId="0" xfId="0" applyNumberFormat="1" applyFont="1" applyAlignment="1">
      <alignment horizontal="left" vertical="center" indent="1"/>
    </xf>
    <xf numFmtId="0" fontId="1" fillId="10" borderId="12" xfId="0" applyFont="1" applyFill="1" applyBorder="1" applyAlignment="1">
      <alignment vertical="center"/>
    </xf>
    <xf numFmtId="166" fontId="21" fillId="11" borderId="9" xfId="3" applyNumberFormat="1" applyFont="1" applyFill="1" applyBorder="1" applyAlignment="1">
      <alignment horizontal="left" vertical="center"/>
    </xf>
    <xf numFmtId="0" fontId="1" fillId="10" borderId="0" xfId="0" applyFont="1" applyFill="1" applyAlignment="1">
      <alignment vertical="center"/>
    </xf>
    <xf numFmtId="166" fontId="34" fillId="11" borderId="10" xfId="5" applyFont="1" applyAlignment="1">
      <alignment vertical="center"/>
    </xf>
    <xf numFmtId="0" fontId="1" fillId="0" borderId="10" xfId="0" applyFont="1" applyBorder="1" applyAlignment="1">
      <alignment vertical="center"/>
    </xf>
    <xf numFmtId="0" fontId="21" fillId="0" borderId="2" xfId="3" applyFont="1" applyAlignment="1">
      <alignment horizontal="left"/>
    </xf>
    <xf numFmtId="0" fontId="35" fillId="0" borderId="0" xfId="0" applyFont="1" applyFill="1" applyBorder="1" applyAlignment="1">
      <alignment horizontal="left" vertical="center" indent="1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0" fontId="36" fillId="0" borderId="3" xfId="2" applyFont="1" applyBorder="1"/>
    <xf numFmtId="0" fontId="1" fillId="0" borderId="3" xfId="0" applyFont="1" applyBorder="1" applyAlignment="1">
      <alignment horizontal="right"/>
    </xf>
    <xf numFmtId="0" fontId="38" fillId="0" borderId="2" xfId="3" applyFont="1"/>
    <xf numFmtId="3" fontId="39" fillId="0" borderId="5" xfId="0" applyNumberFormat="1" applyFont="1" applyFill="1" applyBorder="1" applyAlignment="1">
      <alignment horizontal="right" wrapText="1" indent="1"/>
    </xf>
    <xf numFmtId="164" fontId="36" fillId="0" borderId="5" xfId="4" applyFont="1">
      <alignment horizontal="right" vertical="center" wrapText="1" indent="1"/>
    </xf>
    <xf numFmtId="164" fontId="40" fillId="10" borderId="6" xfId="0" applyNumberFormat="1" applyFont="1" applyFill="1" applyBorder="1" applyAlignment="1">
      <alignment horizontal="right" vertical="center" wrapText="1" indent="1"/>
    </xf>
    <xf numFmtId="3" fontId="41" fillId="0" borderId="5" xfId="0" applyNumberFormat="1" applyFont="1" applyFill="1" applyBorder="1" applyAlignment="1">
      <alignment horizontal="right" vertical="center" wrapText="1" indent="1"/>
    </xf>
    <xf numFmtId="14" fontId="8" fillId="0" borderId="0" xfId="0" applyNumberFormat="1" applyFont="1" applyBorder="1" applyAlignment="1">
      <alignment horizontal="left" vertical="center" indent="1"/>
    </xf>
    <xf numFmtId="3" fontId="8" fillId="0" borderId="7" xfId="0" applyNumberFormat="1" applyFont="1" applyFill="1" applyBorder="1" applyAlignment="1">
      <alignment horizontal="right" wrapText="1" indent="1"/>
    </xf>
    <xf numFmtId="165" fontId="8" fillId="0" borderId="7" xfId="0" applyNumberFormat="1" applyFont="1" applyFill="1" applyBorder="1" applyAlignment="1">
      <alignment horizontal="right" wrapText="1" indent="1"/>
    </xf>
    <xf numFmtId="165" fontId="39" fillId="10" borderId="6" xfId="0" applyNumberFormat="1" applyFont="1" applyFill="1" applyBorder="1" applyAlignment="1">
      <alignment horizontal="right" wrapText="1" indent="1"/>
    </xf>
    <xf numFmtId="3" fontId="8" fillId="0" borderId="0" xfId="0" applyNumberFormat="1" applyFont="1" applyFill="1" applyBorder="1" applyAlignment="1">
      <alignment horizontal="right" wrapText="1" indent="1"/>
    </xf>
    <xf numFmtId="165" fontId="39" fillId="0" borderId="0" xfId="0" applyNumberFormat="1" applyFont="1" applyFill="1" applyBorder="1" applyAlignment="1">
      <alignment horizontal="right" wrapText="1" indent="1"/>
    </xf>
    <xf numFmtId="165" fontId="39" fillId="10" borderId="8" xfId="0" applyNumberFormat="1" applyFont="1" applyFill="1" applyBorder="1" applyAlignment="1">
      <alignment horizontal="right" wrapText="1" indent="1"/>
    </xf>
    <xf numFmtId="3" fontId="39" fillId="0" borderId="0" xfId="0" applyNumberFormat="1" applyFont="1" applyFill="1" applyBorder="1" applyAlignment="1">
      <alignment horizontal="right" wrapText="1" indent="1"/>
    </xf>
    <xf numFmtId="166" fontId="42" fillId="0" borderId="9" xfId="3" applyNumberFormat="1" applyFont="1" applyFill="1" applyBorder="1" applyAlignment="1">
      <alignment horizontal="left" vertical="center"/>
    </xf>
    <xf numFmtId="0" fontId="1" fillId="0" borderId="10" xfId="0" applyFont="1" applyFill="1" applyBorder="1" applyAlignment="1">
      <alignment vertical="center"/>
    </xf>
    <xf numFmtId="0" fontId="42" fillId="0" borderId="2" xfId="3" applyFont="1" applyAlignment="1">
      <alignment vertical="center"/>
    </xf>
    <xf numFmtId="166" fontId="43" fillId="0" borderId="0" xfId="0" applyNumberFormat="1" applyFont="1" applyAlignment="1">
      <alignment horizontal="left" vertical="center" indent="1"/>
    </xf>
    <xf numFmtId="166" fontId="42" fillId="11" borderId="9" xfId="3" applyNumberFormat="1" applyFont="1" applyFill="1" applyBorder="1" applyAlignment="1">
      <alignment horizontal="left" vertical="center"/>
    </xf>
    <xf numFmtId="166" fontId="8" fillId="11" borderId="10" xfId="5" applyFont="1" applyAlignment="1">
      <alignment vertical="center"/>
    </xf>
    <xf numFmtId="166" fontId="8" fillId="10" borderId="13" xfId="0" applyNumberFormat="1" applyFont="1" applyFill="1" applyBorder="1" applyAlignment="1">
      <alignment vertical="center"/>
    </xf>
    <xf numFmtId="0" fontId="42" fillId="0" borderId="2" xfId="3" applyFont="1" applyAlignment="1">
      <alignment horizontal="left"/>
    </xf>
    <xf numFmtId="0" fontId="8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/>
    <xf numFmtId="166" fontId="34" fillId="11" borderId="10" xfId="5" applyFont="1" applyBorder="1" applyAlignment="1">
      <alignment vertical="center"/>
    </xf>
    <xf numFmtId="169" fontId="1" fillId="0" borderId="0" xfId="0" applyNumberFormat="1" applyFont="1" applyFill="1" applyBorder="1" applyAlignment="1">
      <alignment horizontal="right" vertical="center"/>
    </xf>
    <xf numFmtId="169" fontId="44" fillId="0" borderId="0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</cellXfs>
  <cellStyles count="6">
    <cellStyle name="Lien hypertexte" xfId="1" builtinId="8"/>
    <cellStyle name="Month" xfId="4"/>
    <cellStyle name="Normal" xfId="0" builtinId="0"/>
    <cellStyle name="Titre" xfId="2" builtinId="15"/>
    <cellStyle name="Titre 1" xfId="3" builtinId="16"/>
    <cellStyle name="Totals" xfId="5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/>
        <strike/>
        <condense/>
        <extend/>
        <outline/>
        <shadow/>
        <u val="none"/>
        <vertAlign val="baseline"/>
        <sz val="10"/>
        <color theme="1" tint="0.14996795556505021"/>
        <name val="Calibri"/>
        <scheme val="minor"/>
      </font>
      <numFmt numFmtId="166" formatCode="0_);\-0_)"/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6" formatCode="0_);\-0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/>
        <strike/>
        <outline/>
        <shadow/>
        <u val="none"/>
        <vertAlign val="baseline"/>
        <sz val="10"/>
        <color theme="1" tint="0.499984740745262"/>
        <name val="Calibri"/>
        <scheme val="minor"/>
      </font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  <strike val="0"/>
        <u val="none"/>
        <vertAlign val="baseline"/>
        <color theme="1"/>
      </font>
    </dxf>
    <dxf>
      <font>
        <b/>
        <strike val="0"/>
        <u val="none"/>
        <vertAlign val="baseline"/>
        <color theme="1"/>
      </font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numFmt numFmtId="166" formatCode="0_);\-0_)"/>
    </dxf>
    <dxf>
      <font>
        <b/>
        <strike val="0"/>
        <u val="none"/>
        <vertAlign val="baseline"/>
        <color theme="1"/>
      </font>
      <numFmt numFmtId="169" formatCode="0.00_ ;\-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strike val="0"/>
        <u val="none"/>
        <vertAlign val="baseline"/>
        <color theme="1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0"/>
        </bottom>
      </border>
    </dxf>
    <dxf>
      <font>
        <b/>
        <strike val="0"/>
        <u val="none"/>
        <vertAlign val="baseline"/>
        <color theme="1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/>
        <shadow/>
        <u val="none"/>
        <vertAlign val="baseline"/>
        <sz val="10"/>
        <color theme="1"/>
        <name val="Calibri"/>
        <scheme val="minor"/>
      </font>
      <numFmt numFmtId="166" formatCode="0_);\-0_)"/>
      <alignment horizontal="left" vertical="center" textRotation="0" wrapText="0" indent="1" justifyLastLine="0" shrinkToFit="0" readingOrder="0"/>
    </dxf>
    <dxf>
      <font>
        <b/>
        <strike val="0"/>
        <outline/>
        <shadow/>
        <u val="none"/>
        <vertAlign val="baseline"/>
        <sz val="10"/>
        <color theme="1"/>
        <name val="Calibri"/>
        <scheme val="minor"/>
      </font>
      <numFmt numFmtId="166" formatCode="0_);\-0_)"/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  <strike val="0"/>
        <u val="none"/>
        <vertAlign val="baseline"/>
        <color theme="1"/>
      </font>
    </dxf>
    <dxf>
      <font>
        <b/>
        <strike val="0"/>
        <u val="none"/>
        <vertAlign val="baseline"/>
        <color theme="1"/>
      </font>
    </dxf>
    <dxf>
      <font>
        <b/>
        <strike val="0"/>
        <u val="none"/>
        <vertAlign val="baseline"/>
        <color theme="1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  <border>
        <vertical/>
        <horizontal/>
      </border>
    </dxf>
    <dxf>
      <font>
        <color theme="1" tint="0.14996795556505021"/>
      </font>
    </dxf>
    <dxf>
      <border diagonalUp="0" diagonalDown="0">
        <left style="dotted">
          <color theme="0" tint="-0.34998626667073579"/>
        </left>
        <right style="dotted">
          <color theme="0" tint="-0.34998626667073579"/>
        </right>
        <top style="thin">
          <color theme="0" tint="-0.34998626667073579"/>
        </top>
        <bottom style="dotted">
          <color theme="0" tint="-0.34998626667073579"/>
        </bottom>
        <vertical/>
        <horizontal/>
      </border>
    </dxf>
    <dxf>
      <font>
        <b val="0"/>
        <i val="0"/>
        <color theme="1" tint="0.34998626667073579"/>
      </font>
    </dxf>
    <dxf>
      <font>
        <b val="0"/>
        <i val="0"/>
        <color theme="1" tint="0.14990691854609822"/>
      </font>
      <fill>
        <patternFill patternType="solid">
          <bgColor theme="4" tint="0.79998168889431442"/>
        </patternFill>
      </fill>
      <border>
        <top/>
        <bottom style="medium">
          <color theme="4" tint="0.39994506668294322"/>
        </bottom>
      </border>
    </dxf>
    <dxf>
      <font>
        <b/>
        <i/>
        <color theme="1" tint="0.14996795556505021"/>
      </font>
    </dxf>
    <dxf>
      <font>
        <color theme="1" tint="0.499984740745262"/>
      </font>
      <border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dotted">
          <color theme="0" tint="-0.34998626667073579"/>
        </vertical>
        <horizontal style="thin">
          <color theme="0" tint="-0.34998626667073579"/>
        </horizontal>
      </border>
    </dxf>
  </dxfs>
  <tableStyles count="1" defaultTableStyle="TableStyleMedium9" defaultPivotStyle="PivotStyleLight16">
    <tableStyle name="Cash Receipts" pivot="0" count="7">
      <tableStyleElement type="wholeTable" dxfId="130"/>
      <tableStyleElement type="headerRow" dxfId="129"/>
      <tableStyleElement type="totalRow" dxfId="128"/>
      <tableStyleElement type="firstColumn" dxfId="127"/>
      <tableStyleElement type="lastColumn" dxfId="126"/>
      <tableStyleElement type="firstTotalCell" dxfId="125"/>
      <tableStyleElement type="lastTotalCell" dxfId="124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Encaissements" displayName="Encaissements" ref="B10:S15" headerRowCount="0" totalsRowCount="1" headerRowDxfId="121" dataDxfId="120" totalsRowDxfId="119">
  <tableColumns count="18">
    <tableColumn id="1" name="Items" totalsRowLabel="Total" headerRowDxfId="118" dataDxfId="117" totalsRowDxfId="116"/>
    <tableColumn id="17" name="Column2" headerRowDxfId="115" dataDxfId="114" totalsRowDxfId="113"/>
    <tableColumn id="2" name="Période 0" totalsRowFunction="sum" dataDxfId="112" totalsRowDxfId="111"/>
    <tableColumn id="3" name="Période 1" totalsRowFunction="sum" dataDxfId="110" totalsRowDxfId="109"/>
    <tableColumn id="4" name="Période 2" totalsRowFunction="sum" dataDxfId="108" totalsRowDxfId="107"/>
    <tableColumn id="5" name="Période 3" totalsRowFunction="sum" dataDxfId="106" totalsRowDxfId="105"/>
    <tableColumn id="6" name="Période 4" totalsRowFunction="sum" dataDxfId="104" totalsRowDxfId="103"/>
    <tableColumn id="7" name="Période 5" totalsRowFunction="sum" dataDxfId="102" totalsRowDxfId="101"/>
    <tableColumn id="8" name="Période 6" totalsRowFunction="sum" dataDxfId="100" totalsRowDxfId="99"/>
    <tableColumn id="9" name="Période 7" totalsRowFunction="sum" dataDxfId="98" totalsRowDxfId="97"/>
    <tableColumn id="10" name="Période 8" totalsRowFunction="sum" dataDxfId="96" totalsRowDxfId="95"/>
    <tableColumn id="11" name="Période 9" totalsRowFunction="sum" dataDxfId="94" totalsRowDxfId="93"/>
    <tableColumn id="12" name="Période 10" totalsRowFunction="sum" dataDxfId="92" totalsRowDxfId="91"/>
    <tableColumn id="13" name="Période 11" totalsRowFunction="sum" dataDxfId="90" totalsRowDxfId="89"/>
    <tableColumn id="14" name="Période 12" totalsRowFunction="sum" dataDxfId="88" totalsRowDxfId="87"/>
    <tableColumn id="18" name="Column3" dataDxfId="86" totalsRowDxfId="85"/>
    <tableColumn id="15" name="Total" totalsRowFunction="sum" dataDxfId="84" totalsRowDxfId="83">
      <calculatedColumnFormula>SUM(Encaissements[[#This Row],[Période 0]:[Période 12]])</calculatedColumnFormula>
    </tableColumn>
    <tableColumn id="16" name="Column1" dataDxfId="82" totalsRowDxfId="81"/>
  </tableColumns>
  <tableStyleInfo name="Cash Receipts" showFirstColumn="1" showLastColumn="1" showRowStripes="0" showColumnStripes="0"/>
  <extLst>
    <ext xmlns:x14="http://schemas.microsoft.com/office/spreadsheetml/2009/9/main" uri="{504A1905-F514-4f6f-8877-14C23A59335A}">
      <x14:table altText="Cash Receipts" altTextSummary="Cash receipts for 12 months starting with the first month of the fiscal year along with a calculated grand total."/>
    </ext>
  </extLst>
</table>
</file>

<file path=xl/tables/table2.xml><?xml version="1.0" encoding="utf-8"?>
<table xmlns="http://schemas.openxmlformats.org/spreadsheetml/2006/main" id="2" name="Décaissements" displayName="Décaissements" ref="B20:S31" headerRowCount="0" totalsRowCount="1" headerRowDxfId="80" dataDxfId="79" totalsRowDxfId="78">
  <tableColumns count="18">
    <tableColumn id="1" name="Items" totalsRowLabel="Total" headerRowDxfId="77" dataDxfId="76" totalsRowDxfId="75"/>
    <tableColumn id="17" name="Column2" headerRowDxfId="74" dataDxfId="73" totalsRowDxfId="72"/>
    <tableColumn id="2" name="Période 0" totalsRowFunction="sum" dataDxfId="71" totalsRowDxfId="70"/>
    <tableColumn id="3" name="Période 1" totalsRowFunction="sum" dataDxfId="69" totalsRowDxfId="68"/>
    <tableColumn id="4" name="Période 2" totalsRowFunction="sum" dataDxfId="67" totalsRowDxfId="66"/>
    <tableColumn id="5" name="Période 3" totalsRowFunction="sum" dataDxfId="65" totalsRowDxfId="64"/>
    <tableColumn id="6" name="Période 4" totalsRowFunction="sum" dataDxfId="63" totalsRowDxfId="62"/>
    <tableColumn id="7" name="Période 5" totalsRowFunction="sum" totalsRowDxfId="61"/>
    <tableColumn id="8" name="Période 6" totalsRowFunction="sum" dataDxfId="60" totalsRowDxfId="59"/>
    <tableColumn id="9" name="Période 7" totalsRowFunction="sum" dataDxfId="58" totalsRowDxfId="57"/>
    <tableColumn id="10" name="Période 8" totalsRowFunction="sum" dataDxfId="56" totalsRowDxfId="55"/>
    <tableColumn id="11" name="Période 9" totalsRowFunction="sum" dataDxfId="54" totalsRowDxfId="53"/>
    <tableColumn id="12" name="Période 10" totalsRowFunction="sum" dataDxfId="52" totalsRowDxfId="51"/>
    <tableColumn id="13" name="Période 11" totalsRowFunction="sum" dataDxfId="50" totalsRowDxfId="49"/>
    <tableColumn id="14" name="Période 12" totalsRowFunction="sum" dataDxfId="48" totalsRowDxfId="47"/>
    <tableColumn id="18" name="Column3" dataDxfId="46" totalsRowDxfId="45"/>
    <tableColumn id="15" name="Total" totalsRowFunction="sum" dataDxfId="44" totalsRowDxfId="43">
      <calculatedColumnFormula>SUM(Décaissements[[#This Row],[Période 0]:[Période 12]])</calculatedColumnFormula>
    </tableColumn>
    <tableColumn id="16" name="Column1" dataDxfId="42" totalsRowDxfId="41"/>
  </tableColumns>
  <tableStyleInfo name="Cash Receipts" showFirstColumn="1" showLastColumn="1" showRowStripes="0" showColumnStripes="0"/>
  <extLst>
    <ext xmlns:x14="http://schemas.microsoft.com/office/spreadsheetml/2009/9/main" uri="{504A1905-F514-4f6f-8877-14C23A59335A}">
      <x14:table altText="Cash Paid Out" altTextSummary="Cash payouts for 12 months starting with the first month of the fiscal year along with a calculated grand total."/>
    </ext>
  </extLst>
</table>
</file>

<file path=xl/tables/table3.xml><?xml version="1.0" encoding="utf-8"?>
<table xmlns="http://schemas.openxmlformats.org/spreadsheetml/2006/main" id="3" name="Décaissements2" displayName="Décaissements2" ref="B35:S40" headerRowCount="0" totalsRowCount="1" headerRowDxfId="40" dataDxfId="39" totalsRowDxfId="38">
  <tableColumns count="18">
    <tableColumn id="1" name="Items" totalsRowLabel="Total" headerRowDxfId="37" dataDxfId="36" totalsRowDxfId="35"/>
    <tableColumn id="17" name="Column2" headerRowDxfId="34" dataDxfId="33" totalsRowDxfId="32"/>
    <tableColumn id="2" name="Période 0" totalsRowFunction="sum" dataDxfId="31" totalsRowDxfId="30"/>
    <tableColumn id="3" name="Période 1" totalsRowFunction="sum" dataDxfId="29" totalsRowDxfId="28"/>
    <tableColumn id="4" name="Période 2" totalsRowFunction="sum" dataDxfId="27" totalsRowDxfId="26"/>
    <tableColumn id="5" name="Période 3" totalsRowFunction="sum" dataDxfId="25" totalsRowDxfId="24"/>
    <tableColumn id="6" name="Période 4" totalsRowFunction="sum" dataDxfId="23" totalsRowDxfId="22"/>
    <tableColumn id="7" name="Période 5" totalsRowFunction="sum" dataDxfId="21" totalsRowDxfId="20"/>
    <tableColumn id="8" name="Période 6" totalsRowFunction="sum" dataDxfId="19" totalsRowDxfId="18"/>
    <tableColumn id="9" name="Période 7" totalsRowFunction="sum" dataDxfId="17" totalsRowDxfId="16"/>
    <tableColumn id="10" name="Période 8" totalsRowFunction="sum" dataDxfId="15" totalsRowDxfId="14"/>
    <tableColumn id="11" name="Période 9" totalsRowFunction="sum" dataDxfId="13" totalsRowDxfId="12"/>
    <tableColumn id="12" name="Période 10" totalsRowFunction="sum" dataDxfId="11" totalsRowDxfId="10"/>
    <tableColumn id="13" name="Période 11" totalsRowFunction="sum" dataDxfId="9" totalsRowDxfId="8"/>
    <tableColumn id="14" name="Période 12" totalsRowFunction="sum" dataDxfId="7" totalsRowDxfId="6"/>
    <tableColumn id="18" name="Column3" dataDxfId="5" totalsRowDxfId="4"/>
    <tableColumn id="15" name="Total" totalsRowFunction="sum" dataDxfId="3" totalsRowDxfId="2">
      <calculatedColumnFormula>SUM(Décaissements2[[#This Row],[Période 0]:[Période 12]])</calculatedColumnFormula>
    </tableColumn>
    <tableColumn id="16" name="Column1" dataDxfId="1" totalsRowDxfId="0"/>
  </tableColumns>
  <tableStyleInfo name="Cash Receipts" showFirstColumn="1" showLastColumn="1" showRowStripes="0" showColumnStripes="0"/>
  <extLst>
    <ext xmlns:x14="http://schemas.microsoft.com/office/spreadsheetml/2009/9/main" uri="{504A1905-F514-4f6f-8877-14C23A59335A}">
      <x14:table altText="Cash Paid Out (Non P&amp;L)" altTextSummary="Cash receipts (non P&amp;L) for 12 months starting with the first month of the fiscal year along with a calculated grand total."/>
    </ext>
  </extLst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3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70"/>
  <sheetViews>
    <sheetView tabSelected="1" zoomScale="79" zoomScaleNormal="120" workbookViewId="0">
      <pane ySplit="5" topLeftCell="A6" activePane="bottomLeft" state="frozen"/>
      <selection pane="bottomLeft" activeCell="P14" sqref="P14"/>
    </sheetView>
  </sheetViews>
  <sheetFormatPr baseColWidth="10" defaultRowHeight="14.4" x14ac:dyDescent="0.3"/>
  <cols>
    <col min="1" max="1" width="30.33203125" customWidth="1"/>
    <col min="8" max="8" width="13.77734375" customWidth="1"/>
    <col min="13" max="13" width="12.88671875" bestFit="1" customWidth="1"/>
    <col min="14" max="14" width="2.5546875" customWidth="1"/>
    <col min="15" max="15" width="11.88671875" customWidth="1"/>
    <col min="17" max="17" width="21.5546875" customWidth="1"/>
    <col min="18" max="18" width="13.44140625" customWidth="1"/>
  </cols>
  <sheetData>
    <row r="1" spans="1:28" x14ac:dyDescent="0.3">
      <c r="A1" s="60">
        <f ca="1">NOW()</f>
        <v>46145.575445486109</v>
      </c>
    </row>
    <row r="2" spans="1:28" ht="21" x14ac:dyDescent="0.4">
      <c r="A2" s="2"/>
      <c r="C2" s="23"/>
      <c r="E2" s="1" t="s">
        <v>118</v>
      </c>
    </row>
    <row r="3" spans="1:28" x14ac:dyDescent="0.3">
      <c r="E3" s="5" t="s">
        <v>17</v>
      </c>
      <c r="F3" s="5"/>
    </row>
    <row r="5" spans="1:28" ht="18" x14ac:dyDescent="0.35">
      <c r="B5" s="9" t="s">
        <v>0</v>
      </c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7</v>
      </c>
      <c r="J5" s="9" t="s">
        <v>10</v>
      </c>
      <c r="K5" s="9" t="s">
        <v>11</v>
      </c>
      <c r="L5" s="9" t="s">
        <v>12</v>
      </c>
      <c r="M5" s="9" t="s">
        <v>13</v>
      </c>
      <c r="O5" s="34"/>
      <c r="P5" s="7"/>
      <c r="R5" s="7" t="s">
        <v>31</v>
      </c>
    </row>
    <row r="6" spans="1:28" ht="28.8" x14ac:dyDescent="0.3">
      <c r="H6" s="8"/>
      <c r="O6" s="10"/>
      <c r="P6" s="11" t="s">
        <v>21</v>
      </c>
    </row>
    <row r="7" spans="1:28" x14ac:dyDescent="0.3">
      <c r="A7" s="5" t="s">
        <v>37</v>
      </c>
      <c r="B7" s="8">
        <v>487</v>
      </c>
      <c r="C7" s="8">
        <v>487</v>
      </c>
      <c r="D7" s="8">
        <v>487</v>
      </c>
      <c r="E7" s="8">
        <v>487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4"/>
      <c r="O7" s="19"/>
      <c r="P7" s="27">
        <f>(SUM(B7:M7))</f>
        <v>1948</v>
      </c>
      <c r="Q7" s="12" t="s">
        <v>14</v>
      </c>
    </row>
    <row r="8" spans="1:28" x14ac:dyDescent="0.3">
      <c r="A8" s="5" t="s">
        <v>36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O8" s="20"/>
      <c r="P8" s="28">
        <f>(SUM(B8:M8))</f>
        <v>0</v>
      </c>
      <c r="Q8" s="13" t="s">
        <v>15</v>
      </c>
    </row>
    <row r="9" spans="1:28" x14ac:dyDescent="0.3">
      <c r="A9" s="5" t="s">
        <v>38</v>
      </c>
      <c r="B9" s="8">
        <v>260</v>
      </c>
      <c r="C9" s="8">
        <v>260</v>
      </c>
      <c r="D9" s="8">
        <v>260</v>
      </c>
      <c r="E9" s="8">
        <v>260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P9" s="28">
        <f>(SUM(B9:M9))</f>
        <v>1040</v>
      </c>
      <c r="Q9" s="13" t="s">
        <v>39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3">
      <c r="A10" s="5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P10" s="28"/>
      <c r="Q10" s="1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3">
      <c r="A11" s="25" t="s">
        <v>41</v>
      </c>
      <c r="B11" s="8">
        <v>0</v>
      </c>
      <c r="C11" s="8">
        <v>0</v>
      </c>
      <c r="D11" s="8">
        <v>0</v>
      </c>
      <c r="E11" s="8">
        <v>0</v>
      </c>
      <c r="F11" s="8">
        <v>342</v>
      </c>
      <c r="G11" s="8">
        <v>342</v>
      </c>
      <c r="H11" s="8">
        <v>0</v>
      </c>
      <c r="I11" s="8">
        <v>342</v>
      </c>
      <c r="J11" s="8">
        <v>0</v>
      </c>
      <c r="K11" s="8">
        <v>0</v>
      </c>
      <c r="L11" s="8">
        <v>342</v>
      </c>
      <c r="M11" s="8">
        <v>0</v>
      </c>
      <c r="O11" s="36">
        <f>F12+SUM(B11:M11)</f>
        <v>1368</v>
      </c>
      <c r="P11" s="19"/>
      <c r="Q11" s="6"/>
      <c r="R11" s="2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3">
      <c r="A12" s="25" t="s">
        <v>29</v>
      </c>
      <c r="B12" s="8">
        <v>0</v>
      </c>
      <c r="C12" s="8">
        <v>0</v>
      </c>
      <c r="D12" s="8">
        <v>0</v>
      </c>
      <c r="E12" s="8">
        <v>0</v>
      </c>
      <c r="F12" s="3"/>
      <c r="G12" s="3"/>
      <c r="H12" s="3"/>
      <c r="I12" s="3"/>
      <c r="J12" s="3"/>
      <c r="K12" s="3"/>
      <c r="L12" s="3"/>
      <c r="M12" s="3"/>
      <c r="O12" s="6">
        <v>130.66999999999999</v>
      </c>
      <c r="P12" s="29">
        <f>P7+P8</f>
        <v>1948</v>
      </c>
      <c r="Q12" s="14" t="s">
        <v>25</v>
      </c>
      <c r="R12" s="2">
        <f>P12/2</f>
        <v>974</v>
      </c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3">
      <c r="A13" s="8" t="s">
        <v>28</v>
      </c>
      <c r="B13" s="8">
        <v>0</v>
      </c>
      <c r="C13" s="8">
        <v>0</v>
      </c>
      <c r="D13" s="8">
        <v>0</v>
      </c>
      <c r="E13" s="8">
        <v>0</v>
      </c>
      <c r="O13">
        <v>300.45999999999998</v>
      </c>
      <c r="P13" s="14">
        <f>P9</f>
        <v>1040</v>
      </c>
      <c r="Q13" s="14" t="s">
        <v>26</v>
      </c>
      <c r="R13" s="2">
        <f>P13/2</f>
        <v>520</v>
      </c>
    </row>
    <row r="14" spans="1:28" x14ac:dyDescent="0.3">
      <c r="A14" s="8" t="s">
        <v>27</v>
      </c>
      <c r="B14" s="8">
        <v>25.27</v>
      </c>
      <c r="C14" s="8">
        <v>25.16</v>
      </c>
      <c r="D14" s="8">
        <v>25.16</v>
      </c>
      <c r="E14" s="8">
        <v>25.16</v>
      </c>
      <c r="O14">
        <v>261.31</v>
      </c>
      <c r="P14" s="14">
        <f>P12+P13</f>
        <v>2988</v>
      </c>
      <c r="Q14" s="14" t="s">
        <v>123</v>
      </c>
      <c r="R14" s="2">
        <f>P14/2</f>
        <v>1494</v>
      </c>
    </row>
    <row r="15" spans="1:28" x14ac:dyDescent="0.3">
      <c r="A15" s="32" t="s">
        <v>59</v>
      </c>
      <c r="B15" s="42">
        <f>SUM(B12:B14)</f>
        <v>25.27</v>
      </c>
      <c r="C15" s="42">
        <f t="shared" ref="C15:M15" si="0">SUM(C12:C14)</f>
        <v>25.16</v>
      </c>
      <c r="D15" s="42">
        <f t="shared" si="0"/>
        <v>25.16</v>
      </c>
      <c r="E15" s="42">
        <f t="shared" si="0"/>
        <v>25.16</v>
      </c>
      <c r="F15" s="42">
        <f t="shared" si="0"/>
        <v>0</v>
      </c>
      <c r="G15" s="42">
        <f t="shared" si="0"/>
        <v>0</v>
      </c>
      <c r="H15" s="42">
        <f t="shared" si="0"/>
        <v>0</v>
      </c>
      <c r="I15" s="42">
        <f t="shared" si="0"/>
        <v>0</v>
      </c>
      <c r="J15" s="42">
        <f t="shared" si="0"/>
        <v>0</v>
      </c>
      <c r="K15" s="42">
        <f t="shared" si="0"/>
        <v>0</v>
      </c>
      <c r="L15" s="42">
        <f t="shared" si="0"/>
        <v>0</v>
      </c>
      <c r="M15" s="42">
        <f t="shared" si="0"/>
        <v>0</v>
      </c>
      <c r="N15" s="42"/>
      <c r="O15" s="33">
        <f>SUM(B15:M15)</f>
        <v>100.75</v>
      </c>
    </row>
    <row r="16" spans="1:28" x14ac:dyDescent="0.3">
      <c r="A16" s="8" t="s">
        <v>8</v>
      </c>
      <c r="B16" s="8"/>
      <c r="C16" s="3"/>
      <c r="D16" s="3"/>
      <c r="E16" s="3"/>
      <c r="F16" s="15"/>
      <c r="G16" s="3"/>
      <c r="H16" s="3"/>
      <c r="I16" s="3"/>
      <c r="J16" s="3"/>
      <c r="K16" s="3"/>
      <c r="L16" s="3"/>
      <c r="M16" s="37">
        <v>505</v>
      </c>
      <c r="R16" s="31"/>
    </row>
    <row r="17" spans="1:18" x14ac:dyDescent="0.3">
      <c r="A17" s="8" t="s">
        <v>9</v>
      </c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7">
        <v>2017</v>
      </c>
      <c r="P17" s="30">
        <f>O12+M16+M17+40</f>
        <v>2692.67</v>
      </c>
      <c r="Q17" s="16" t="s">
        <v>40</v>
      </c>
      <c r="R17" s="2">
        <f>P17/2</f>
        <v>1346.335</v>
      </c>
    </row>
    <row r="18" spans="1:18" x14ac:dyDescent="0.3">
      <c r="A18" s="8" t="s">
        <v>24</v>
      </c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3">
        <v>0</v>
      </c>
      <c r="P18" s="30">
        <f>O13+M18+20</f>
        <v>320.45999999999998</v>
      </c>
      <c r="Q18" s="16" t="s">
        <v>16</v>
      </c>
      <c r="R18">
        <f>P18/2</f>
        <v>160.22999999999999</v>
      </c>
    </row>
    <row r="19" spans="1:18" x14ac:dyDescent="0.3">
      <c r="A19" s="62" t="s">
        <v>119</v>
      </c>
      <c r="B19" s="63">
        <f>9.1+0.75</f>
        <v>9.85</v>
      </c>
      <c r="C19" s="63">
        <v>9.1</v>
      </c>
      <c r="D19" s="63">
        <v>9.1</v>
      </c>
      <c r="E19" s="63">
        <v>9.1</v>
      </c>
      <c r="F19" s="63">
        <v>9.1</v>
      </c>
      <c r="G19" s="63">
        <v>9.1</v>
      </c>
      <c r="H19" s="63">
        <v>9.85</v>
      </c>
      <c r="I19" s="63">
        <v>9.1</v>
      </c>
      <c r="J19" s="63">
        <v>9.1</v>
      </c>
      <c r="K19" s="63">
        <v>9.1</v>
      </c>
      <c r="L19" s="63">
        <f>9.1+0.75</f>
        <v>9.85</v>
      </c>
      <c r="M19" s="63">
        <f>9.1+0.75</f>
        <v>9.85</v>
      </c>
      <c r="O19" s="63">
        <f>SUM(B19:M19)</f>
        <v>112.19999999999997</v>
      </c>
      <c r="P19" s="20"/>
    </row>
    <row r="20" spans="1:18" x14ac:dyDescent="0.3">
      <c r="A20" s="62"/>
      <c r="B20" s="4"/>
      <c r="L20" s="8" t="s">
        <v>30</v>
      </c>
      <c r="O20" s="36">
        <f>P12-P17</f>
        <v>-744.67000000000007</v>
      </c>
      <c r="P20" s="20"/>
      <c r="Q20" t="s">
        <v>32</v>
      </c>
      <c r="R20" s="35">
        <f>O12/2</f>
        <v>65.334999999999994</v>
      </c>
    </row>
    <row r="21" spans="1:18" x14ac:dyDescent="0.3">
      <c r="A21" s="8" t="s">
        <v>42</v>
      </c>
      <c r="B21" s="4"/>
      <c r="M21" s="37">
        <v>2238</v>
      </c>
      <c r="P21" s="20"/>
      <c r="Q21" t="s">
        <v>33</v>
      </c>
      <c r="R21" s="35">
        <f>(O13)/2</f>
        <v>150.22999999999999</v>
      </c>
    </row>
    <row r="22" spans="1:18" x14ac:dyDescent="0.3">
      <c r="A22" s="62" t="s">
        <v>120</v>
      </c>
      <c r="B22" s="64">
        <v>21.72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/>
      <c r="O22" s="64">
        <f>SUM(B22:M22)</f>
        <v>21.72</v>
      </c>
      <c r="P22" s="21"/>
    </row>
    <row r="23" spans="1:18" x14ac:dyDescent="0.3">
      <c r="A23" s="18" t="s">
        <v>18</v>
      </c>
      <c r="B23" s="24">
        <v>294.7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P23" s="26">
        <f>SUM(B23:M23)+SUM(G24:M24)</f>
        <v>294.7</v>
      </c>
      <c r="Q23" s="17" t="s">
        <v>20</v>
      </c>
    </row>
    <row r="24" spans="1:18" x14ac:dyDescent="0.3">
      <c r="A24" s="18" t="s">
        <v>19</v>
      </c>
      <c r="K24" s="22">
        <v>0</v>
      </c>
      <c r="M24" t="s">
        <v>23</v>
      </c>
    </row>
    <row r="25" spans="1:18" x14ac:dyDescent="0.3">
      <c r="B25" s="4"/>
      <c r="Q25" t="s">
        <v>34</v>
      </c>
      <c r="R25" s="35">
        <f>(M16+M17)/2</f>
        <v>1261</v>
      </c>
    </row>
    <row r="26" spans="1:18" x14ac:dyDescent="0.3">
      <c r="A26" t="s">
        <v>22</v>
      </c>
      <c r="M26" s="2"/>
      <c r="Q26" t="s">
        <v>35</v>
      </c>
      <c r="R26" s="35">
        <v>0</v>
      </c>
    </row>
    <row r="28" spans="1:18" ht="36.6" x14ac:dyDescent="0.7">
      <c r="A28" s="2"/>
      <c r="B28" s="46"/>
      <c r="C28" s="47"/>
      <c r="D28" s="47"/>
      <c r="E28" s="44"/>
      <c r="F28" s="45"/>
      <c r="G28" s="45"/>
      <c r="H28" s="43"/>
      <c r="I28" s="1"/>
    </row>
    <row r="30" spans="1:18" x14ac:dyDescent="0.3">
      <c r="B30" s="8"/>
    </row>
    <row r="31" spans="1:18" x14ac:dyDescent="0.3">
      <c r="A31" s="8"/>
      <c r="B31" s="8"/>
    </row>
    <row r="32" spans="1:18" x14ac:dyDescent="0.3">
      <c r="A32" s="8"/>
      <c r="B32" s="42"/>
      <c r="H32" s="41"/>
    </row>
    <row r="33" spans="1:13" x14ac:dyDescent="0.3">
      <c r="A33" s="8"/>
      <c r="B33" s="42"/>
      <c r="C33" s="8"/>
      <c r="H33" s="41"/>
    </row>
    <row r="34" spans="1:13" x14ac:dyDescent="0.3">
      <c r="A34" s="8"/>
      <c r="B34" s="42"/>
      <c r="C34" s="8"/>
      <c r="H34" s="41"/>
    </row>
    <row r="35" spans="1:13" x14ac:dyDescent="0.3">
      <c r="A35" s="8"/>
      <c r="B35" s="42"/>
      <c r="C35" s="8"/>
      <c r="H35" s="41"/>
    </row>
    <row r="36" spans="1:13" x14ac:dyDescent="0.3">
      <c r="A36" s="8"/>
      <c r="B36" s="42"/>
      <c r="C36" s="8"/>
      <c r="H36" s="41"/>
    </row>
    <row r="37" spans="1:13" x14ac:dyDescent="0.3">
      <c r="A37" s="8"/>
      <c r="B37" s="42"/>
      <c r="C37" s="8"/>
      <c r="H37" s="41"/>
    </row>
    <row r="38" spans="1:13" x14ac:dyDescent="0.3">
      <c r="A38" s="8"/>
      <c r="B38" s="42"/>
      <c r="C38" s="8"/>
      <c r="H38" s="41"/>
    </row>
    <row r="39" spans="1:13" x14ac:dyDescent="0.3">
      <c r="A39" s="8"/>
      <c r="C39" s="8"/>
      <c r="H39" s="41"/>
    </row>
    <row r="40" spans="1:13" x14ac:dyDescent="0.3">
      <c r="A40" s="8"/>
      <c r="C40" s="8"/>
      <c r="H40" s="41"/>
    </row>
    <row r="41" spans="1:13" x14ac:dyDescent="0.3">
      <c r="A41" s="8"/>
      <c r="C41" s="8"/>
      <c r="H41" s="41"/>
    </row>
    <row r="42" spans="1:13" x14ac:dyDescent="0.3">
      <c r="A42" s="8"/>
      <c r="C42" s="8"/>
      <c r="H42" s="41"/>
    </row>
    <row r="43" spans="1:13" x14ac:dyDescent="0.3">
      <c r="A43" s="8"/>
      <c r="C43" s="8"/>
    </row>
    <row r="44" spans="1:13" x14ac:dyDescent="0.3">
      <c r="A44" s="8"/>
      <c r="C44" s="8"/>
      <c r="L44" s="41"/>
      <c r="M44" s="8"/>
    </row>
    <row r="45" spans="1:13" x14ac:dyDescent="0.3">
      <c r="A45" s="8"/>
      <c r="C45" s="8"/>
      <c r="H45" s="8"/>
    </row>
    <row r="47" spans="1:13" x14ac:dyDescent="0.3">
      <c r="C47" s="41"/>
      <c r="D47" s="42"/>
    </row>
    <row r="50" spans="1:11" ht="31.2" x14ac:dyDescent="0.6">
      <c r="E50" s="44"/>
    </row>
    <row r="51" spans="1:11" x14ac:dyDescent="0.3">
      <c r="E51" s="8"/>
    </row>
    <row r="52" spans="1:11" ht="21" x14ac:dyDescent="0.4">
      <c r="C52" s="1"/>
      <c r="E52" s="8"/>
      <c r="G52" s="1"/>
    </row>
    <row r="53" spans="1:11" x14ac:dyDescent="0.3">
      <c r="E53" s="8"/>
      <c r="G53" s="8"/>
    </row>
    <row r="54" spans="1:11" x14ac:dyDescent="0.3">
      <c r="E54" s="8"/>
      <c r="G54" s="8"/>
    </row>
    <row r="55" spans="1:11" x14ac:dyDescent="0.3">
      <c r="A55" s="8"/>
      <c r="B55" s="8"/>
      <c r="C55" s="8"/>
      <c r="D55" s="42"/>
      <c r="E55" s="8"/>
      <c r="F55" s="8"/>
      <c r="H55" s="8"/>
      <c r="I55" s="8"/>
      <c r="J55" s="42"/>
      <c r="K55" s="42"/>
    </row>
    <row r="56" spans="1:11" x14ac:dyDescent="0.3">
      <c r="A56" s="8"/>
      <c r="B56" s="8"/>
      <c r="C56" s="8"/>
      <c r="D56" s="42"/>
      <c r="E56" s="8"/>
      <c r="F56" s="8"/>
      <c r="H56" s="8"/>
      <c r="I56" s="8"/>
      <c r="J56" s="42"/>
      <c r="K56" s="42"/>
    </row>
    <row r="57" spans="1:11" x14ac:dyDescent="0.3">
      <c r="A57" s="8"/>
      <c r="B57" s="8"/>
      <c r="C57" s="8"/>
      <c r="D57" s="42"/>
      <c r="E57" s="8"/>
      <c r="F57" s="8"/>
      <c r="H57" s="8"/>
      <c r="I57" s="8"/>
      <c r="J57" s="42"/>
      <c r="K57" s="42"/>
    </row>
    <row r="58" spans="1:11" x14ac:dyDescent="0.3">
      <c r="A58" s="8"/>
      <c r="B58" s="8"/>
      <c r="C58" s="8"/>
      <c r="D58" s="42"/>
      <c r="E58" s="8"/>
      <c r="F58" s="8"/>
      <c r="H58" s="8"/>
      <c r="I58" s="8"/>
      <c r="J58" s="42"/>
      <c r="K58" s="42"/>
    </row>
    <row r="59" spans="1:11" x14ac:dyDescent="0.3">
      <c r="A59" s="8"/>
      <c r="B59" s="8"/>
      <c r="C59" s="8"/>
      <c r="D59" s="42"/>
      <c r="E59" s="8"/>
      <c r="F59" s="8"/>
      <c r="H59" s="8"/>
      <c r="I59" s="8"/>
      <c r="J59" s="42"/>
      <c r="K59" s="42"/>
    </row>
    <row r="60" spans="1:11" x14ac:dyDescent="0.3">
      <c r="A60" s="8"/>
      <c r="B60" s="8"/>
      <c r="C60" s="8"/>
      <c r="D60" s="42"/>
      <c r="E60" s="8"/>
      <c r="F60" s="8"/>
      <c r="H60" s="8"/>
      <c r="I60" s="8"/>
      <c r="J60" s="42"/>
      <c r="K60" s="42"/>
    </row>
    <row r="61" spans="1:11" x14ac:dyDescent="0.3">
      <c r="A61" s="8"/>
      <c r="B61" s="8"/>
      <c r="C61" s="8"/>
      <c r="D61" s="42"/>
      <c r="E61" s="8"/>
      <c r="F61" s="8"/>
      <c r="H61" s="8"/>
      <c r="I61" s="8"/>
      <c r="J61" s="42"/>
      <c r="K61" s="42"/>
    </row>
    <row r="62" spans="1:11" x14ac:dyDescent="0.3">
      <c r="B62" s="8"/>
      <c r="C62" s="8"/>
      <c r="D62" s="42"/>
      <c r="E62" s="8"/>
      <c r="H62" s="8"/>
      <c r="I62" s="8"/>
      <c r="J62" s="42"/>
      <c r="K62" s="42"/>
    </row>
    <row r="63" spans="1:11" x14ac:dyDescent="0.3">
      <c r="B63" s="8"/>
      <c r="C63" s="8"/>
      <c r="D63" s="42"/>
      <c r="E63" s="8"/>
      <c r="J63" s="42"/>
      <c r="K63" s="42"/>
    </row>
    <row r="64" spans="1:11" x14ac:dyDescent="0.3">
      <c r="B64" s="8"/>
      <c r="C64" s="8"/>
      <c r="D64" s="42"/>
      <c r="E64" s="8"/>
      <c r="H64" s="8"/>
      <c r="J64" s="42"/>
      <c r="K64" s="42"/>
    </row>
    <row r="65" spans="1:11" x14ac:dyDescent="0.3">
      <c r="A65" s="8"/>
      <c r="B65" s="8"/>
      <c r="C65" s="8"/>
      <c r="D65" s="42"/>
      <c r="E65" s="8"/>
      <c r="H65" s="8"/>
      <c r="J65" s="42"/>
      <c r="K65" s="42"/>
    </row>
    <row r="66" spans="1:11" x14ac:dyDescent="0.3">
      <c r="A66" s="8"/>
      <c r="B66" s="8"/>
      <c r="C66" s="8"/>
      <c r="D66" s="8"/>
      <c r="E66" s="8"/>
    </row>
    <row r="67" spans="1:11" x14ac:dyDescent="0.3">
      <c r="A67" s="8"/>
      <c r="B67" s="8"/>
      <c r="C67" s="8"/>
      <c r="E67" s="8"/>
    </row>
    <row r="68" spans="1:11" x14ac:dyDescent="0.3">
      <c r="A68" s="8"/>
      <c r="B68" s="8"/>
      <c r="C68" s="8"/>
      <c r="E68" s="8"/>
    </row>
    <row r="69" spans="1:11" x14ac:dyDescent="0.3">
      <c r="A69" s="8"/>
      <c r="B69" s="8"/>
      <c r="C69" s="8"/>
      <c r="E69" s="8"/>
    </row>
    <row r="70" spans="1:11" x14ac:dyDescent="0.3">
      <c r="E70" s="8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2"/>
  <sheetViews>
    <sheetView workbookViewId="0">
      <selection activeCell="I14" sqref="I14"/>
    </sheetView>
  </sheetViews>
  <sheetFormatPr baseColWidth="10" defaultRowHeight="14.4" x14ac:dyDescent="0.3"/>
  <cols>
    <col min="1" max="1" width="30.6640625" customWidth="1"/>
    <col min="8" max="8" width="23" customWidth="1"/>
    <col min="12" max="12" width="31.109375" customWidth="1"/>
  </cols>
  <sheetData>
    <row r="1" spans="1:12" ht="36.6" x14ac:dyDescent="0.7">
      <c r="A1" s="2"/>
      <c r="B1" s="46"/>
      <c r="C1" s="47" t="s">
        <v>83</v>
      </c>
      <c r="D1" s="47"/>
      <c r="E1" s="44"/>
      <c r="F1" s="45"/>
      <c r="G1" s="45"/>
      <c r="H1" s="43">
        <v>2026</v>
      </c>
      <c r="I1" s="1"/>
      <c r="L1" s="59">
        <f ca="1">NOW()+30</f>
        <v>46175.575445486109</v>
      </c>
    </row>
    <row r="2" spans="1:12" ht="36.6" x14ac:dyDescent="0.7">
      <c r="A2" s="2"/>
      <c r="B2" s="46"/>
      <c r="C2" s="47"/>
      <c r="D2" s="47"/>
      <c r="E2" s="44"/>
      <c r="F2" s="45"/>
      <c r="G2" s="45"/>
      <c r="H2" s="43"/>
      <c r="I2" s="1"/>
    </row>
    <row r="3" spans="1:12" ht="20.399999999999999" customHeight="1" x14ac:dyDescent="0.7">
      <c r="A3" s="52" t="s">
        <v>117</v>
      </c>
      <c r="B3" s="53" t="s">
        <v>115</v>
      </c>
      <c r="C3" s="47"/>
      <c r="D3" s="47"/>
      <c r="E3" s="44"/>
      <c r="F3" s="45"/>
      <c r="G3" s="45"/>
      <c r="H3" s="43"/>
      <c r="I3" s="1"/>
    </row>
    <row r="4" spans="1:12" ht="20.399999999999999" customHeight="1" x14ac:dyDescent="0.7">
      <c r="A4" s="2"/>
      <c r="B4" s="53" t="s">
        <v>116</v>
      </c>
      <c r="C4" s="47"/>
      <c r="D4" s="47"/>
      <c r="E4" s="44"/>
      <c r="F4" s="45"/>
      <c r="G4" s="45"/>
      <c r="H4" s="43"/>
      <c r="I4" s="1"/>
    </row>
    <row r="6" spans="1:12" x14ac:dyDescent="0.3">
      <c r="B6" s="57" t="s">
        <v>43</v>
      </c>
      <c r="D6" s="61"/>
      <c r="E6" s="39"/>
      <c r="F6" s="38"/>
      <c r="I6" s="57" t="s">
        <v>44</v>
      </c>
    </row>
    <row r="7" spans="1:12" x14ac:dyDescent="0.3">
      <c r="A7" s="8"/>
      <c r="B7" s="8"/>
      <c r="D7" s="39"/>
      <c r="E7" s="39"/>
      <c r="F7" s="38"/>
      <c r="I7" s="8"/>
    </row>
    <row r="8" spans="1:12" x14ac:dyDescent="0.3">
      <c r="A8" s="8" t="s">
        <v>70</v>
      </c>
      <c r="B8" s="42">
        <v>2579.33</v>
      </c>
      <c r="D8" s="39"/>
      <c r="E8" s="39"/>
      <c r="F8" s="39"/>
      <c r="H8" s="41"/>
    </row>
    <row r="9" spans="1:12" x14ac:dyDescent="0.3">
      <c r="A9" s="8" t="s">
        <v>45</v>
      </c>
      <c r="B9" s="42">
        <f>'Charges à Déduire'!P7</f>
        <v>1948</v>
      </c>
      <c r="C9" s="8"/>
      <c r="D9" s="39"/>
      <c r="E9" s="39"/>
      <c r="F9" s="39"/>
      <c r="H9" s="41" t="s">
        <v>48</v>
      </c>
      <c r="I9" s="55">
        <f>'Charges à Déduire'!$O$11</f>
        <v>1368</v>
      </c>
    </row>
    <row r="10" spans="1:12" x14ac:dyDescent="0.3">
      <c r="A10" s="8"/>
      <c r="B10" s="42"/>
      <c r="C10" s="8"/>
      <c r="D10" s="39"/>
      <c r="E10" s="39"/>
      <c r="F10" s="39"/>
      <c r="H10" s="41" t="s">
        <v>50</v>
      </c>
      <c r="I10" s="54">
        <f>'Charges à Déduire'!O22</f>
        <v>21.72</v>
      </c>
    </row>
    <row r="11" spans="1:12" x14ac:dyDescent="0.3">
      <c r="A11" s="8" t="s">
        <v>46</v>
      </c>
      <c r="B11" s="42">
        <f>'Charges à Déduire'!P8</f>
        <v>0</v>
      </c>
      <c r="C11" s="8"/>
      <c r="D11" s="39"/>
      <c r="E11" s="39"/>
      <c r="F11" s="39"/>
      <c r="H11" s="41" t="s">
        <v>49</v>
      </c>
      <c r="I11" s="54">
        <f>'Charges à Déduire'!O15</f>
        <v>100.75</v>
      </c>
    </row>
    <row r="12" spans="1:12" x14ac:dyDescent="0.3">
      <c r="A12" s="8"/>
      <c r="B12" s="42"/>
      <c r="C12" s="8"/>
      <c r="D12" s="39"/>
      <c r="E12" s="39"/>
      <c r="F12" s="39"/>
      <c r="H12" s="41" t="s">
        <v>51</v>
      </c>
      <c r="I12" s="54">
        <f>'Charges à Déduire'!$M$16</f>
        <v>505</v>
      </c>
    </row>
    <row r="13" spans="1:12" x14ac:dyDescent="0.3">
      <c r="A13" s="8" t="s">
        <v>56</v>
      </c>
      <c r="B13" s="42">
        <f>'Charges à Déduire'!P13</f>
        <v>1040</v>
      </c>
      <c r="C13" s="8"/>
      <c r="D13" s="39"/>
      <c r="E13" s="39"/>
      <c r="F13" s="39"/>
      <c r="H13" s="41" t="s">
        <v>52</v>
      </c>
      <c r="I13" s="54">
        <f>'Charges à Déduire'!$M$17</f>
        <v>2017</v>
      </c>
    </row>
    <row r="14" spans="1:12" x14ac:dyDescent="0.3">
      <c r="A14" s="8" t="s">
        <v>71</v>
      </c>
      <c r="B14" s="42">
        <v>0</v>
      </c>
      <c r="C14" s="8"/>
      <c r="D14" s="39"/>
      <c r="E14" s="39"/>
      <c r="F14" s="39"/>
      <c r="H14" s="41" t="s">
        <v>53</v>
      </c>
      <c r="I14" s="54">
        <f>'Charges à Déduire'!$M$21</f>
        <v>2238</v>
      </c>
    </row>
    <row r="15" spans="1:12" x14ac:dyDescent="0.3">
      <c r="A15" s="8" t="s">
        <v>55</v>
      </c>
      <c r="B15" s="42">
        <v>0</v>
      </c>
      <c r="C15" s="8"/>
      <c r="D15" s="39"/>
      <c r="E15" s="39"/>
      <c r="F15" s="39"/>
      <c r="H15" s="41" t="s">
        <v>54</v>
      </c>
      <c r="I15" s="54">
        <f>'Charges à Déduire'!O19</f>
        <v>112.19999999999997</v>
      </c>
    </row>
    <row r="16" spans="1:12" x14ac:dyDescent="0.3">
      <c r="A16" s="8" t="s">
        <v>58</v>
      </c>
      <c r="B16" s="42">
        <v>0</v>
      </c>
      <c r="C16" s="8"/>
      <c r="D16" s="39"/>
      <c r="E16" s="39"/>
      <c r="F16" s="39"/>
      <c r="H16" s="41" t="s">
        <v>57</v>
      </c>
      <c r="I16" s="56">
        <v>1800</v>
      </c>
    </row>
    <row r="17" spans="1:13" ht="15" thickBot="1" x14ac:dyDescent="0.35">
      <c r="A17" s="8"/>
      <c r="B17" s="40"/>
      <c r="C17" s="8"/>
      <c r="D17" s="39"/>
      <c r="E17" s="39"/>
      <c r="F17" s="39"/>
      <c r="H17" s="41"/>
      <c r="I17" s="40"/>
    </row>
    <row r="18" spans="1:13" ht="15" thickTop="1" x14ac:dyDescent="0.3">
      <c r="A18" s="8"/>
      <c r="B18" s="8"/>
      <c r="C18" s="8"/>
    </row>
    <row r="19" spans="1:13" x14ac:dyDescent="0.3">
      <c r="A19" s="8"/>
      <c r="B19" s="8"/>
      <c r="C19" s="8"/>
      <c r="L19" s="41"/>
      <c r="M19" s="8"/>
    </row>
    <row r="20" spans="1:13" x14ac:dyDescent="0.3">
      <c r="A20" s="8" t="s">
        <v>47</v>
      </c>
      <c r="B20" s="54">
        <f>SUM(B8:B16)</f>
        <v>5567.33</v>
      </c>
      <c r="C20" s="8"/>
      <c r="H20" s="8"/>
      <c r="I20" s="8">
        <f>SUM(I9:I19)</f>
        <v>8162.67</v>
      </c>
    </row>
    <row r="22" spans="1:13" x14ac:dyDescent="0.3">
      <c r="B22" s="8" t="s">
        <v>82</v>
      </c>
      <c r="C22" s="41"/>
      <c r="D22" s="42">
        <f>B20-I20</f>
        <v>-2595.34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workbookViewId="0">
      <selection activeCell="D7" sqref="D7"/>
    </sheetView>
  </sheetViews>
  <sheetFormatPr baseColWidth="10" defaultRowHeight="14.4" x14ac:dyDescent="0.3"/>
  <cols>
    <col min="1" max="1" width="33.109375" customWidth="1"/>
  </cols>
  <sheetData>
    <row r="2" spans="1:11" ht="31.2" x14ac:dyDescent="0.6">
      <c r="A2" s="59">
        <f ca="1">NOW() +30</f>
        <v>46175.575445486109</v>
      </c>
      <c r="E2" s="44" t="s">
        <v>125</v>
      </c>
    </row>
    <row r="3" spans="1:11" ht="15" thickBot="1" x14ac:dyDescent="0.35"/>
    <row r="4" spans="1:11" ht="22.2" thickTop="1" thickBot="1" x14ac:dyDescent="0.45">
      <c r="C4" s="58" t="s">
        <v>61</v>
      </c>
      <c r="E4" s="39"/>
      <c r="G4" s="58" t="s">
        <v>60</v>
      </c>
    </row>
    <row r="5" spans="1:11" ht="15" thickTop="1" x14ac:dyDescent="0.3">
      <c r="E5" s="39"/>
      <c r="G5" s="8"/>
    </row>
    <row r="6" spans="1:11" x14ac:dyDescent="0.3">
      <c r="E6" s="39"/>
      <c r="G6" s="8"/>
    </row>
    <row r="7" spans="1:11" x14ac:dyDescent="0.3">
      <c r="A7" s="48" t="s">
        <v>62</v>
      </c>
      <c r="B7" s="8" t="s">
        <v>63</v>
      </c>
      <c r="C7" s="8"/>
      <c r="D7" s="42">
        <v>180000</v>
      </c>
      <c r="E7" s="39"/>
      <c r="F7" s="48" t="s">
        <v>66</v>
      </c>
      <c r="H7" s="8" t="s">
        <v>67</v>
      </c>
      <c r="I7" s="8" t="s">
        <v>72</v>
      </c>
      <c r="J7" s="42" t="s">
        <v>73</v>
      </c>
      <c r="K7" s="42">
        <f>6*2400</f>
        <v>14400</v>
      </c>
    </row>
    <row r="8" spans="1:11" x14ac:dyDescent="0.3">
      <c r="A8" s="8"/>
      <c r="B8" s="8" t="s">
        <v>64</v>
      </c>
      <c r="C8" s="8"/>
      <c r="D8" s="42">
        <v>60000</v>
      </c>
      <c r="E8" s="39"/>
      <c r="F8" s="8"/>
      <c r="H8" s="8"/>
      <c r="I8" s="8" t="s">
        <v>74</v>
      </c>
      <c r="J8" s="42" t="s">
        <v>73</v>
      </c>
      <c r="K8" s="42">
        <f>6*2400</f>
        <v>14400</v>
      </c>
    </row>
    <row r="9" spans="1:11" x14ac:dyDescent="0.3">
      <c r="A9" s="8"/>
      <c r="B9" s="8" t="s">
        <v>65</v>
      </c>
      <c r="C9" s="8"/>
      <c r="D9" s="42">
        <v>30000</v>
      </c>
      <c r="E9" s="39"/>
      <c r="F9" s="8"/>
      <c r="H9" s="8"/>
      <c r="I9" s="8" t="s">
        <v>75</v>
      </c>
      <c r="J9" s="42" t="s">
        <v>76</v>
      </c>
      <c r="K9" s="42">
        <f>22*2400</f>
        <v>52800</v>
      </c>
    </row>
    <row r="10" spans="1:11" x14ac:dyDescent="0.3">
      <c r="A10" s="8"/>
      <c r="B10" s="8"/>
      <c r="C10" s="8"/>
      <c r="D10" s="42"/>
      <c r="E10" s="39"/>
      <c r="F10" s="8"/>
      <c r="H10" s="8"/>
      <c r="I10" s="8" t="s">
        <v>77</v>
      </c>
      <c r="J10" s="42" t="s">
        <v>76</v>
      </c>
      <c r="K10" s="42">
        <f>22*2400</f>
        <v>52800</v>
      </c>
    </row>
    <row r="11" spans="1:11" x14ac:dyDescent="0.3">
      <c r="A11" s="48" t="s">
        <v>68</v>
      </c>
      <c r="B11" s="8"/>
      <c r="C11" s="8"/>
      <c r="D11" s="42"/>
      <c r="E11" s="39"/>
      <c r="F11" s="8"/>
      <c r="H11" s="8"/>
      <c r="I11" s="8" t="s">
        <v>79</v>
      </c>
      <c r="J11" s="42" t="s">
        <v>76</v>
      </c>
      <c r="K11" s="42">
        <f t="shared" ref="K11:K12" si="0">22*2400</f>
        <v>52800</v>
      </c>
    </row>
    <row r="12" spans="1:11" x14ac:dyDescent="0.3">
      <c r="A12" s="8"/>
      <c r="B12" s="8" t="s">
        <v>69</v>
      </c>
      <c r="C12" s="8"/>
      <c r="D12" s="42">
        <v>2579.33</v>
      </c>
      <c r="E12" s="39"/>
      <c r="F12" s="8"/>
      <c r="H12" s="8"/>
      <c r="I12" s="8" t="s">
        <v>80</v>
      </c>
      <c r="J12" s="42" t="s">
        <v>76</v>
      </c>
      <c r="K12" s="42">
        <f t="shared" si="0"/>
        <v>52800</v>
      </c>
    </row>
    <row r="13" spans="1:11" x14ac:dyDescent="0.3">
      <c r="A13" s="8"/>
      <c r="B13" s="8"/>
      <c r="C13" s="8"/>
      <c r="D13" s="42"/>
      <c r="E13" s="39"/>
      <c r="F13" s="8"/>
      <c r="H13" s="8"/>
      <c r="I13" s="8"/>
      <c r="J13" s="42"/>
      <c r="K13" s="42"/>
    </row>
    <row r="14" spans="1:11" x14ac:dyDescent="0.3">
      <c r="B14" s="8"/>
      <c r="C14" s="8"/>
      <c r="D14" s="42"/>
      <c r="E14" s="39"/>
      <c r="H14" s="8" t="s">
        <v>78</v>
      </c>
      <c r="I14" s="8" t="s">
        <v>81</v>
      </c>
      <c r="J14" s="42">
        <v>30000</v>
      </c>
      <c r="K14" s="42">
        <v>30000</v>
      </c>
    </row>
    <row r="15" spans="1:11" x14ac:dyDescent="0.3">
      <c r="B15" s="8"/>
      <c r="C15" s="8"/>
      <c r="D15" s="42"/>
      <c r="E15" s="39"/>
      <c r="J15" s="42"/>
      <c r="K15" s="42"/>
    </row>
    <row r="16" spans="1:11" x14ac:dyDescent="0.3">
      <c r="B16" s="8"/>
      <c r="C16" s="8"/>
      <c r="D16" s="42"/>
      <c r="E16" s="39"/>
      <c r="H16" s="8" t="s">
        <v>82</v>
      </c>
      <c r="J16" s="42"/>
      <c r="K16" s="42">
        <f>'Compte d''Exploitation'!D22</f>
        <v>-2595.34</v>
      </c>
    </row>
    <row r="17" spans="1:11" x14ac:dyDescent="0.3">
      <c r="A17" s="8"/>
      <c r="B17" s="8"/>
      <c r="C17" s="8"/>
      <c r="D17" s="42"/>
      <c r="E17" s="39"/>
      <c r="H17" s="8"/>
      <c r="J17" s="42"/>
      <c r="K17" s="42"/>
    </row>
    <row r="18" spans="1:11" x14ac:dyDescent="0.3">
      <c r="A18" s="8"/>
      <c r="B18" s="8"/>
      <c r="C18" s="8"/>
      <c r="D18" s="8"/>
      <c r="E18" s="39"/>
    </row>
    <row r="19" spans="1:11" ht="15" thickBot="1" x14ac:dyDescent="0.35">
      <c r="A19" s="8"/>
      <c r="B19" s="8"/>
      <c r="C19" s="8"/>
      <c r="D19" s="40"/>
      <c r="K19" s="40"/>
    </row>
    <row r="20" spans="1:11" ht="15" thickTop="1" x14ac:dyDescent="0.3">
      <c r="A20" s="8"/>
      <c r="B20" s="8"/>
      <c r="C20" s="8"/>
      <c r="D20" s="8"/>
      <c r="F20" s="2"/>
    </row>
    <row r="21" spans="1:11" x14ac:dyDescent="0.3">
      <c r="A21" s="8"/>
      <c r="B21" s="8"/>
      <c r="C21" s="8"/>
      <c r="D21" s="42">
        <f>SUM(D7:D18)</f>
        <v>272579.33</v>
      </c>
      <c r="J21" s="42"/>
      <c r="K21" s="42">
        <f>SUM(K7:K18)</f>
        <v>267404.65999999997</v>
      </c>
    </row>
    <row r="22" spans="1:11" x14ac:dyDescent="0.3">
      <c r="A22" s="8"/>
      <c r="B22" s="8"/>
      <c r="C22" s="8"/>
      <c r="D22" s="8"/>
      <c r="G22" s="2">
        <f>D21-K21</f>
        <v>5174.6700000000419</v>
      </c>
    </row>
    <row r="23" spans="1:11" x14ac:dyDescent="0.3">
      <c r="A23" s="8"/>
      <c r="B23" s="8"/>
      <c r="C23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27"/>
  <sheetViews>
    <sheetView zoomScale="90" zoomScaleNormal="90" workbookViewId="0">
      <pane ySplit="6" topLeftCell="A21" activePane="bottomLeft" state="frozen"/>
      <selection pane="bottomLeft" activeCell="H23" sqref="H23"/>
    </sheetView>
  </sheetViews>
  <sheetFormatPr baseColWidth="10" defaultRowHeight="14.4" x14ac:dyDescent="0.3"/>
  <cols>
    <col min="1" max="1" width="22.21875" customWidth="1"/>
    <col min="2" max="2" width="11.88671875" bestFit="1" customWidth="1"/>
    <col min="14" max="14" width="12" customWidth="1"/>
    <col min="17" max="17" width="7.33203125" customWidth="1"/>
  </cols>
  <sheetData>
    <row r="1" spans="2:19" s="67" customFormat="1" ht="42" customHeight="1" thickBot="1" x14ac:dyDescent="0.75">
      <c r="B1" s="85" t="s">
        <v>121</v>
      </c>
      <c r="C1" s="65"/>
      <c r="D1" s="65"/>
      <c r="E1" s="86"/>
      <c r="F1" s="65"/>
      <c r="G1" s="65"/>
      <c r="H1" s="65"/>
      <c r="I1" s="65"/>
      <c r="J1" s="65"/>
      <c r="K1" s="65"/>
      <c r="L1" s="65"/>
      <c r="M1" s="65"/>
      <c r="N1" s="66">
        <f ca="1">NOW()</f>
        <v>46145.575445486109</v>
      </c>
      <c r="O1" s="65"/>
      <c r="P1" s="65"/>
      <c r="Q1" s="65"/>
      <c r="R1" s="65"/>
      <c r="S1" s="65"/>
    </row>
    <row r="2" spans="2:19" s="67" customFormat="1" ht="22.5" customHeight="1" thickTop="1" x14ac:dyDescent="0.3">
      <c r="Q2" s="68"/>
    </row>
    <row r="3" spans="2:19" s="67" customFormat="1" ht="25.5" customHeight="1" thickBot="1" x14ac:dyDescent="0.4">
      <c r="B3" s="87" t="s">
        <v>84</v>
      </c>
      <c r="D3" s="88" t="s">
        <v>85</v>
      </c>
      <c r="E3" s="89" t="str">
        <f>UPPER(TEXT(Débutexercicecomptable,"mmm"))</f>
        <v>JANV</v>
      </c>
      <c r="F3" s="89" t="str">
        <f>UPPER(TEXT(EOMONTH(Débutexercicecomptable,1),"mmm"))</f>
        <v>FÉVR</v>
      </c>
      <c r="G3" s="89" t="str">
        <f>UPPER(TEXT(EOMONTH(Débutexercicecomptable,2),"mmm"))</f>
        <v>MARS</v>
      </c>
      <c r="H3" s="89" t="str">
        <f>UPPER(TEXT(EOMONTH(Débutexercicecomptable,3),"mmm"))</f>
        <v>AVR</v>
      </c>
      <c r="I3" s="89" t="str">
        <f>UPPER(TEXT(EOMONTH(Débutexercicecomptable,4),"mmm"))</f>
        <v>MAI</v>
      </c>
      <c r="J3" s="89" t="str">
        <f>UPPER(TEXT(EOMONTH(Débutexercicecomptable,5),"mmm"))</f>
        <v>JUIN</v>
      </c>
      <c r="K3" s="89" t="str">
        <f>UPPER(TEXT(EOMONTH(Débutexercicecomptable,6),"mmm"))</f>
        <v>JUIL</v>
      </c>
      <c r="L3" s="89" t="str">
        <f>UPPER(TEXT(EOMONTH(Débutexercicecomptable,7),"mmm"))</f>
        <v>AOÛT</v>
      </c>
      <c r="M3" s="89" t="str">
        <f>UPPER(TEXT(EOMONTH(Débutexercicecomptable,8),"mmm"))</f>
        <v>SEPT</v>
      </c>
      <c r="N3" s="89" t="str">
        <f>UPPER(TEXT(EOMONTH(Débutexercicecomptable,9),"mmm"))</f>
        <v>OCT</v>
      </c>
      <c r="O3" s="89" t="str">
        <f>UPPER(TEXT(EOMONTH(Débutexercicecomptable,10),"mmm"))</f>
        <v>NOV</v>
      </c>
      <c r="P3" s="89" t="str">
        <f>UPPER(TEXT(EOMONTH(Débutexercicecomptable,11),"mmm"))</f>
        <v>DÉC</v>
      </c>
      <c r="Q3" s="90"/>
      <c r="R3" s="91" t="s">
        <v>86</v>
      </c>
      <c r="S3" s="69"/>
    </row>
    <row r="4" spans="2:19" s="67" customFormat="1" ht="12.75" customHeight="1" thickTop="1" thickBot="1" x14ac:dyDescent="0.35">
      <c r="B4" s="92">
        <v>46023</v>
      </c>
      <c r="D4" s="93" t="s">
        <v>87</v>
      </c>
      <c r="E4" s="94">
        <f>Débutexercicecomptable</f>
        <v>46023</v>
      </c>
      <c r="F4" s="94">
        <f t="shared" ref="F4" si="0">EOMONTH(E4,0)+DAY(Débutexercicecomptable)</f>
        <v>46054</v>
      </c>
      <c r="G4" s="94">
        <f t="shared" ref="G4" si="1">EOMONTH(F4,0)+DAY(Débutexercicecomptable)</f>
        <v>46082</v>
      </c>
      <c r="H4" s="94">
        <f t="shared" ref="H4" si="2">EOMONTH(G4,0)+DAY(Débutexercicecomptable)</f>
        <v>46113</v>
      </c>
      <c r="I4" s="94">
        <f t="shared" ref="I4" si="3">EOMONTH(H4,0)+DAY(Débutexercicecomptable)</f>
        <v>46143</v>
      </c>
      <c r="J4" s="94">
        <f t="shared" ref="J4" si="4">EOMONTH(I4,0)+DAY(Débutexercicecomptable)</f>
        <v>46174</v>
      </c>
      <c r="K4" s="94">
        <f t="shared" ref="K4" si="5">EOMONTH(J4,0)+DAY(Débutexercicecomptable)</f>
        <v>46204</v>
      </c>
      <c r="L4" s="94">
        <f t="shared" ref="L4" si="6">EOMONTH(K4,0)+DAY(Débutexercicecomptable)</f>
        <v>46235</v>
      </c>
      <c r="M4" s="94">
        <f t="shared" ref="M4" si="7">EOMONTH(L4,0)+DAY(Débutexercicecomptable)</f>
        <v>46266</v>
      </c>
      <c r="N4" s="94">
        <f t="shared" ref="N4" si="8">EOMONTH(M4,0)+DAY(Débutexercicecomptable)</f>
        <v>46296</v>
      </c>
      <c r="O4" s="94">
        <f t="shared" ref="O4" si="9">EOMONTH(N4,0)+DAY(Débutexercicecomptable)</f>
        <v>46327</v>
      </c>
      <c r="P4" s="94">
        <f t="shared" ref="P4" si="10">EOMONTH(O4,0)+DAY(Débutexercicecomptable)</f>
        <v>46357</v>
      </c>
      <c r="Q4" s="95"/>
      <c r="R4" s="88" t="s">
        <v>88</v>
      </c>
      <c r="S4" s="69"/>
    </row>
    <row r="5" spans="2:19" s="67" customFormat="1" ht="17.25" customHeight="1" thickTop="1" x14ac:dyDescent="0.3">
      <c r="B5" s="92"/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99"/>
      <c r="S5" s="69"/>
    </row>
    <row r="6" spans="2:19" s="67" customFormat="1" ht="17.25" customHeight="1" thickBot="1" x14ac:dyDescent="0.35">
      <c r="B6" s="100" t="s">
        <v>89</v>
      </c>
      <c r="D6" s="112">
        <v>2922.08</v>
      </c>
      <c r="E6" s="112">
        <f>D43</f>
        <v>2922.08</v>
      </c>
      <c r="F6" s="112">
        <f t="shared" ref="F6:P6" si="11">E43</f>
        <v>3608.84</v>
      </c>
      <c r="G6" s="112">
        <f t="shared" si="11"/>
        <v>4296.46</v>
      </c>
      <c r="H6" s="112">
        <f t="shared" si="11"/>
        <v>4984.08</v>
      </c>
      <c r="I6" s="112">
        <f t="shared" si="11"/>
        <v>5329.7</v>
      </c>
      <c r="J6" s="112">
        <f t="shared" si="11"/>
        <v>5549.69</v>
      </c>
      <c r="K6" s="112">
        <f t="shared" si="11"/>
        <v>5855.37</v>
      </c>
      <c r="L6" s="112">
        <f t="shared" si="11"/>
        <v>6503.05</v>
      </c>
      <c r="M6" s="112">
        <f t="shared" si="11"/>
        <v>6808.7300000000005</v>
      </c>
      <c r="N6" s="112">
        <f t="shared" si="11"/>
        <v>7456.4100000000008</v>
      </c>
      <c r="O6" s="112">
        <f t="shared" si="11"/>
        <v>3344.0899999999992</v>
      </c>
      <c r="P6" s="112">
        <f t="shared" si="11"/>
        <v>3649.0199999999991</v>
      </c>
      <c r="Q6" s="112"/>
      <c r="R6" s="112">
        <f>P6</f>
        <v>3649.0199999999991</v>
      </c>
      <c r="S6" s="101"/>
    </row>
    <row r="7" spans="2:19" s="67" customFormat="1" ht="17.25" customHeight="1" x14ac:dyDescent="0.3"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</row>
    <row r="8" spans="2:19" s="67" customFormat="1" ht="17.25" customHeight="1" thickBot="1" x14ac:dyDescent="0.35">
      <c r="B8" s="102" t="s">
        <v>90</v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</row>
    <row r="9" spans="2:19" s="67" customFormat="1" ht="17.25" customHeight="1" thickTop="1" x14ac:dyDescent="0.3"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</row>
    <row r="10" spans="2:19" s="67" customFormat="1" ht="17.25" customHeight="1" x14ac:dyDescent="0.3">
      <c r="B10" s="74" t="s">
        <v>91</v>
      </c>
      <c r="C10" s="70"/>
      <c r="D10" s="112"/>
      <c r="E10" s="112">
        <v>487</v>
      </c>
      <c r="F10" s="112">
        <v>487</v>
      </c>
      <c r="G10" s="112">
        <v>487</v>
      </c>
      <c r="H10" s="112">
        <v>487</v>
      </c>
      <c r="I10" s="112">
        <v>487</v>
      </c>
      <c r="J10" s="112">
        <v>487</v>
      </c>
      <c r="K10" s="112">
        <v>487</v>
      </c>
      <c r="L10" s="112">
        <v>487</v>
      </c>
      <c r="M10" s="112">
        <v>487</v>
      </c>
      <c r="N10" s="112">
        <v>487</v>
      </c>
      <c r="O10" s="112">
        <v>487</v>
      </c>
      <c r="P10" s="112">
        <v>487</v>
      </c>
      <c r="Q10" s="112"/>
      <c r="R10" s="112">
        <f>SUM(Encaissements[[#This Row],[Période 0]:[Période 12]])</f>
        <v>5844</v>
      </c>
    </row>
    <row r="11" spans="2:19" s="67" customFormat="1" ht="17.25" customHeight="1" x14ac:dyDescent="0.3">
      <c r="B11" s="74" t="s">
        <v>92</v>
      </c>
      <c r="C11" s="70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>
        <f>SUM(Encaissements[[#This Row],[Période 0]:[Période 12]])</f>
        <v>0</v>
      </c>
    </row>
    <row r="12" spans="2:19" s="67" customFormat="1" ht="17.25" customHeight="1" x14ac:dyDescent="0.3">
      <c r="B12" s="74" t="s">
        <v>93</v>
      </c>
      <c r="C12" s="73"/>
      <c r="D12" s="112"/>
      <c r="E12" s="112">
        <v>260</v>
      </c>
      <c r="F12" s="112">
        <v>260</v>
      </c>
      <c r="G12" s="112">
        <v>260</v>
      </c>
      <c r="H12" s="112">
        <v>260</v>
      </c>
      <c r="I12" s="112">
        <v>260</v>
      </c>
      <c r="J12" s="112">
        <v>260</v>
      </c>
      <c r="K12" s="112">
        <v>260</v>
      </c>
      <c r="L12" s="112">
        <v>260</v>
      </c>
      <c r="M12" s="112">
        <v>260</v>
      </c>
      <c r="N12" s="112">
        <v>260</v>
      </c>
      <c r="O12" s="112">
        <v>260</v>
      </c>
      <c r="P12" s="112">
        <v>260</v>
      </c>
      <c r="Q12" s="112"/>
      <c r="R12" s="112">
        <f>SUM(Encaissements[[#This Row],[Période 0]:[Période 12]])</f>
        <v>3120</v>
      </c>
    </row>
    <row r="13" spans="2:19" s="67" customFormat="1" ht="17.25" customHeight="1" x14ac:dyDescent="0.3">
      <c r="B13" s="103" t="s">
        <v>94</v>
      </c>
      <c r="C13" s="70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>
        <f>SUM(Encaissements[[#This Row],[Période 0]:[Période 12]])</f>
        <v>0</v>
      </c>
    </row>
    <row r="14" spans="2:19" s="67" customFormat="1" ht="17.25" customHeight="1" x14ac:dyDescent="0.3">
      <c r="B14" s="103" t="s">
        <v>95</v>
      </c>
      <c r="C14" s="70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>
        <f>SUM(Encaissements[[#This Row],[Période 0]:[Période 12]])</f>
        <v>0</v>
      </c>
    </row>
    <row r="15" spans="2:19" s="67" customFormat="1" ht="17.25" customHeight="1" thickBot="1" x14ac:dyDescent="0.35">
      <c r="B15" s="74" t="s">
        <v>86</v>
      </c>
      <c r="C15" s="75"/>
      <c r="D15" s="72">
        <f>SUBTOTAL(109,Encaissements[Période 0])</f>
        <v>0</v>
      </c>
      <c r="E15" s="72">
        <f>SUBTOTAL(109,Encaissements[Période 1])</f>
        <v>747</v>
      </c>
      <c r="F15" s="72">
        <f>SUBTOTAL(109,Encaissements[Période 2])</f>
        <v>747</v>
      </c>
      <c r="G15" s="72">
        <f>SUBTOTAL(109,Encaissements[Période 3])</f>
        <v>747</v>
      </c>
      <c r="H15" s="72">
        <f>SUBTOTAL(109,Encaissements[Période 4])</f>
        <v>747</v>
      </c>
      <c r="I15" s="72">
        <f>SUBTOTAL(109,Encaissements[Période 5])</f>
        <v>747</v>
      </c>
      <c r="J15" s="72">
        <f>SUBTOTAL(109,Encaissements[Période 6])</f>
        <v>747</v>
      </c>
      <c r="K15" s="72">
        <f>SUBTOTAL(109,Encaissements[Période 7])</f>
        <v>747</v>
      </c>
      <c r="L15" s="72">
        <f>SUBTOTAL(109,Encaissements[Période 8])</f>
        <v>747</v>
      </c>
      <c r="M15" s="72">
        <f>SUBTOTAL(109,Encaissements[Période 9])</f>
        <v>747</v>
      </c>
      <c r="N15" s="72">
        <f>SUBTOTAL(109,Encaissements[Période 10])</f>
        <v>747</v>
      </c>
      <c r="O15" s="72">
        <f>SUBTOTAL(109,Encaissements[Période 11])</f>
        <v>747</v>
      </c>
      <c r="P15" s="72">
        <f>SUBTOTAL(109,Encaissements[Période 12])</f>
        <v>747</v>
      </c>
      <c r="Q15" s="71"/>
      <c r="R15" s="72">
        <f>SUBTOTAL(109,Encaissements[Total])</f>
        <v>8964</v>
      </c>
    </row>
    <row r="16" spans="2:19" s="67" customFormat="1" ht="17.25" customHeight="1" thickTop="1" thickBot="1" x14ac:dyDescent="0.35">
      <c r="B16" s="104" t="s">
        <v>96</v>
      </c>
      <c r="C16" s="77"/>
      <c r="D16" s="105">
        <f>D6+SUM(Encaissements[Période 0])</f>
        <v>2922.08</v>
      </c>
      <c r="E16" s="105">
        <f>E6+SUM(Encaissements[Période 1])</f>
        <v>3669.08</v>
      </c>
      <c r="F16" s="105">
        <f>F6+SUM(Encaissements[Période 2])</f>
        <v>4355.84</v>
      </c>
      <c r="G16" s="105">
        <f>G6+SUM(Encaissements[Période 3])</f>
        <v>5043.46</v>
      </c>
      <c r="H16" s="105">
        <f>H6+SUM(Encaissements[Période 4])</f>
        <v>5731.08</v>
      </c>
      <c r="I16" s="105">
        <f>I6+SUM(Encaissements[Période 5])</f>
        <v>6076.7</v>
      </c>
      <c r="J16" s="105">
        <f>J6+SUM(Encaissements[Période 6])</f>
        <v>6296.69</v>
      </c>
      <c r="K16" s="105">
        <f>K6+SUM(Encaissements[Période 7])</f>
        <v>6602.37</v>
      </c>
      <c r="L16" s="105">
        <f>L6+SUM(Encaissements[Période 8])</f>
        <v>7250.05</v>
      </c>
      <c r="M16" s="105">
        <f>M6+SUM(Encaissements[Période 9])</f>
        <v>7555.7300000000005</v>
      </c>
      <c r="N16" s="105">
        <f>N6+SUM(Encaissements[Période 10])</f>
        <v>8203.41</v>
      </c>
      <c r="O16" s="105">
        <f>O6+SUM(Encaissements[Période 11])</f>
        <v>4091.0899999999992</v>
      </c>
      <c r="P16" s="105">
        <f>P6+SUM(Encaissements[Période 12])</f>
        <v>4396.0199999999986</v>
      </c>
      <c r="Q16" s="106"/>
      <c r="R16" s="105">
        <f>R6+SUM(Encaissements[Total])</f>
        <v>12613.019999999999</v>
      </c>
      <c r="S16" s="79"/>
    </row>
    <row r="17" spans="1:19" s="67" customFormat="1" ht="17.25" customHeight="1" x14ac:dyDescent="0.3"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</row>
    <row r="18" spans="1:19" s="67" customFormat="1" ht="17.25" customHeight="1" thickBot="1" x14ac:dyDescent="0.45">
      <c r="B18" s="107" t="s">
        <v>97</v>
      </c>
      <c r="C18" s="70"/>
      <c r="Q18" s="70"/>
    </row>
    <row r="19" spans="1:19" s="67" customFormat="1" ht="17.25" customHeight="1" thickTop="1" x14ac:dyDescent="0.3"/>
    <row r="20" spans="1:19" s="67" customFormat="1" ht="17.25" customHeight="1" x14ac:dyDescent="0.3">
      <c r="B20" s="108" t="s">
        <v>98</v>
      </c>
      <c r="C20" s="70"/>
      <c r="D20" s="82"/>
      <c r="E20" s="112">
        <v>25.12</v>
      </c>
      <c r="F20" s="112">
        <v>25.12</v>
      </c>
      <c r="G20" s="112">
        <v>25.12</v>
      </c>
      <c r="H20" s="112">
        <v>25.12</v>
      </c>
      <c r="I20" s="112">
        <v>25.12</v>
      </c>
      <c r="J20" s="112">
        <v>25.12</v>
      </c>
      <c r="K20" s="112">
        <v>25.12</v>
      </c>
      <c r="L20" s="112">
        <v>25.12</v>
      </c>
      <c r="M20" s="112">
        <v>25.12</v>
      </c>
      <c r="N20" s="112">
        <v>25.12</v>
      </c>
      <c r="O20" s="112">
        <v>25.12</v>
      </c>
      <c r="P20" s="112">
        <v>25.12</v>
      </c>
      <c r="Q20" s="112"/>
      <c r="R20" s="112">
        <f>SUM(Décaissements[[#This Row],[Période 0]:[Période 12]])</f>
        <v>301.44</v>
      </c>
      <c r="S20" s="84"/>
    </row>
    <row r="21" spans="1:19" s="67" customFormat="1" ht="17.25" customHeight="1" x14ac:dyDescent="0.3">
      <c r="B21" s="108" t="s">
        <v>99</v>
      </c>
      <c r="C21" s="70"/>
      <c r="D21" s="82"/>
      <c r="E21" s="112">
        <v>25.27</v>
      </c>
      <c r="F21" s="112">
        <v>25.16</v>
      </c>
      <c r="G21" s="112">
        <v>25.16</v>
      </c>
      <c r="H21" s="112">
        <v>25.16</v>
      </c>
      <c r="I21" s="112">
        <f>25.16+48.47+77.16</f>
        <v>150.79</v>
      </c>
      <c r="J21" s="112">
        <f>25.16+19.97+19.97</f>
        <v>65.099999999999994</v>
      </c>
      <c r="K21" s="112">
        <f t="shared" ref="K21:P21" si="12">25.16+19.97+19.97</f>
        <v>65.099999999999994</v>
      </c>
      <c r="L21" s="112">
        <f t="shared" si="12"/>
        <v>65.099999999999994</v>
      </c>
      <c r="M21" s="112">
        <f t="shared" si="12"/>
        <v>65.099999999999994</v>
      </c>
      <c r="N21" s="112">
        <f t="shared" si="12"/>
        <v>65.099999999999994</v>
      </c>
      <c r="O21" s="112">
        <f t="shared" si="12"/>
        <v>65.099999999999994</v>
      </c>
      <c r="P21" s="112">
        <f t="shared" si="12"/>
        <v>65.099999999999994</v>
      </c>
      <c r="Q21" s="112"/>
      <c r="R21" s="112">
        <f>SUM(Décaissements[[#This Row],[Période 0]:[Période 12]])</f>
        <v>707.24000000000012</v>
      </c>
      <c r="S21" s="84"/>
    </row>
    <row r="22" spans="1:19" s="67" customFormat="1" ht="17.25" customHeight="1" x14ac:dyDescent="0.3">
      <c r="B22" s="108" t="s">
        <v>100</v>
      </c>
      <c r="C22" s="70"/>
      <c r="D22" s="82"/>
      <c r="E22" s="112">
        <v>0</v>
      </c>
      <c r="F22" s="112">
        <v>0</v>
      </c>
      <c r="G22" s="112">
        <v>0</v>
      </c>
      <c r="H22" s="112">
        <v>342</v>
      </c>
      <c r="I22" s="112">
        <v>342</v>
      </c>
      <c r="J22" s="112">
        <v>342</v>
      </c>
      <c r="K22" s="112">
        <v>0</v>
      </c>
      <c r="L22" s="112">
        <v>342</v>
      </c>
      <c r="M22" s="112">
        <v>0</v>
      </c>
      <c r="N22" s="112">
        <v>0</v>
      </c>
      <c r="O22" s="112">
        <v>342</v>
      </c>
      <c r="P22" s="112">
        <v>0</v>
      </c>
      <c r="Q22" s="112"/>
      <c r="R22" s="112">
        <f>SUM(Décaissements[[#This Row],[Période 0]:[Période 12]])</f>
        <v>1710</v>
      </c>
      <c r="S22" s="84"/>
    </row>
    <row r="23" spans="1:19" s="67" customFormat="1" ht="17.25" customHeight="1" x14ac:dyDescent="0.3">
      <c r="B23" s="112" t="s">
        <v>101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>
        <v>505</v>
      </c>
      <c r="O23" s="112"/>
      <c r="P23" s="112"/>
      <c r="Q23" s="112"/>
      <c r="R23" s="112">
        <f>SUM(Décaissements[[#This Row],[Période 0]:[Période 12]])</f>
        <v>505</v>
      </c>
      <c r="S23" s="112"/>
    </row>
    <row r="24" spans="1:19" s="67" customFormat="1" ht="17.25" customHeight="1" x14ac:dyDescent="0.3">
      <c r="B24" s="112" t="s">
        <v>102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>
        <v>2017</v>
      </c>
      <c r="O24" s="112"/>
      <c r="P24" s="112"/>
      <c r="Q24" s="112"/>
      <c r="R24" s="112">
        <f>SUM(Décaissements[[#This Row],[Période 0]:[Période 12]])</f>
        <v>2017</v>
      </c>
      <c r="S24" s="112"/>
    </row>
    <row r="25" spans="1:19" s="67" customFormat="1" ht="17.25" customHeight="1" x14ac:dyDescent="0.3">
      <c r="B25" s="112" t="s">
        <v>103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>
        <v>2238</v>
      </c>
      <c r="O25" s="112"/>
      <c r="P25" s="112"/>
      <c r="Q25" s="112"/>
      <c r="R25" s="112">
        <f>SUM(Décaissements[[#This Row],[Période 0]:[Période 12]])</f>
        <v>2238</v>
      </c>
      <c r="S25" s="112"/>
    </row>
    <row r="26" spans="1:19" s="49" customFormat="1" ht="17.25" customHeight="1" x14ac:dyDescent="0.3">
      <c r="A26" s="67"/>
      <c r="B26" s="112" t="s">
        <v>104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>
        <f>SUM(Décaissements[[#This Row],[Période 0]:[Période 12]])</f>
        <v>0</v>
      </c>
      <c r="S26" s="112"/>
    </row>
    <row r="27" spans="1:19" s="49" customFormat="1" ht="17.25" customHeight="1" x14ac:dyDescent="0.3">
      <c r="A27" s="67"/>
      <c r="B27" s="112" t="s">
        <v>105</v>
      </c>
      <c r="C27" s="112"/>
      <c r="D27" s="112"/>
      <c r="E27" s="112">
        <v>0</v>
      </c>
      <c r="F27" s="112">
        <v>0</v>
      </c>
      <c r="G27" s="112">
        <v>0</v>
      </c>
      <c r="H27" s="112">
        <v>0</v>
      </c>
      <c r="I27" s="112">
        <v>0</v>
      </c>
      <c r="J27" s="112">
        <v>0</v>
      </c>
      <c r="K27" s="112">
        <v>0</v>
      </c>
      <c r="L27" s="112">
        <v>0</v>
      </c>
      <c r="M27" s="112">
        <v>0</v>
      </c>
      <c r="N27" s="112">
        <v>0</v>
      </c>
      <c r="O27" s="112">
        <v>0</v>
      </c>
      <c r="P27" s="112">
        <v>0</v>
      </c>
      <c r="Q27" s="112"/>
      <c r="R27" s="112">
        <f>SUM(Décaissements[[#This Row],[Période 0]:[Période 12]])</f>
        <v>0</v>
      </c>
      <c r="S27" s="112"/>
    </row>
    <row r="28" spans="1:19" s="49" customFormat="1" ht="17.25" customHeight="1" x14ac:dyDescent="0.3">
      <c r="A28" s="67"/>
      <c r="B28" s="112" t="s">
        <v>122</v>
      </c>
      <c r="C28" s="112"/>
      <c r="D28" s="112"/>
      <c r="E28" s="112">
        <v>9.85</v>
      </c>
      <c r="F28" s="112">
        <v>9.1</v>
      </c>
      <c r="G28" s="112">
        <v>9.1</v>
      </c>
      <c r="H28" s="112">
        <v>9.1</v>
      </c>
      <c r="I28" s="112">
        <v>9.1</v>
      </c>
      <c r="J28" s="112">
        <v>9.1</v>
      </c>
      <c r="K28" s="112">
        <v>9.1</v>
      </c>
      <c r="L28" s="112">
        <v>9.1</v>
      </c>
      <c r="M28" s="112">
        <v>9.1</v>
      </c>
      <c r="N28" s="112">
        <v>9.1</v>
      </c>
      <c r="O28" s="112">
        <f>9.1+0.75</f>
        <v>9.85</v>
      </c>
      <c r="P28" s="112">
        <f>9.1+0.75</f>
        <v>9.85</v>
      </c>
      <c r="Q28" s="112"/>
      <c r="R28" s="112">
        <f>SUM(Décaissements[[#This Row],[Période 0]:[Période 12]])</f>
        <v>111.44999999999997</v>
      </c>
      <c r="S28" s="112"/>
    </row>
    <row r="29" spans="1:19" s="49" customFormat="1" ht="17.25" customHeight="1" x14ac:dyDescent="0.3">
      <c r="A29" s="67"/>
      <c r="B29" s="112" t="s">
        <v>124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>
        <v>0</v>
      </c>
      <c r="P29" s="112">
        <v>0</v>
      </c>
      <c r="Q29" s="112"/>
      <c r="R29" s="112">
        <f>SUM(Décaissements[[#This Row],[Période 0]:[Période 12]])</f>
        <v>0</v>
      </c>
      <c r="S29" s="112"/>
    </row>
    <row r="30" spans="1:19" s="49" customFormat="1" ht="17.25" customHeight="1" x14ac:dyDescent="0.3">
      <c r="A30" s="67"/>
      <c r="B30" s="112" t="s">
        <v>106</v>
      </c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>
        <f>SUM(Décaissements[[#This Row],[Période 0]:[Période 12]])</f>
        <v>0</v>
      </c>
      <c r="S30" s="112"/>
    </row>
    <row r="31" spans="1:19" s="49" customFormat="1" ht="17.25" customHeight="1" x14ac:dyDescent="0.3">
      <c r="A31" s="67"/>
      <c r="B31" s="113" t="s">
        <v>86</v>
      </c>
      <c r="C31" s="113"/>
      <c r="D31" s="113">
        <f>SUBTOTAL(109,Décaissements[Période 0])</f>
        <v>0</v>
      </c>
      <c r="E31" s="113">
        <f>SUBTOTAL(109,Décaissements[Période 1])</f>
        <v>60.24</v>
      </c>
      <c r="F31" s="113">
        <f>SUBTOTAL(109,Décaissements[Période 2])</f>
        <v>59.38</v>
      </c>
      <c r="G31" s="113">
        <f>SUBTOTAL(109,Décaissements[Période 3])</f>
        <v>59.38</v>
      </c>
      <c r="H31" s="113">
        <f>SUBTOTAL(109,Décaissements[Période 4])</f>
        <v>401.38</v>
      </c>
      <c r="I31" s="113">
        <f>SUBTOTAL(109,Décaissements[Période 5])</f>
        <v>527.01</v>
      </c>
      <c r="J31" s="113">
        <f>SUBTOTAL(109,Décaissements[Période 6])</f>
        <v>441.32000000000005</v>
      </c>
      <c r="K31" s="113">
        <f>SUBTOTAL(109,Décaissements[Période 7])</f>
        <v>99.32</v>
      </c>
      <c r="L31" s="113">
        <f>SUBTOTAL(109,Décaissements[Période 8])</f>
        <v>441.32000000000005</v>
      </c>
      <c r="M31" s="113">
        <f>SUBTOTAL(109,Décaissements[Période 9])</f>
        <v>99.32</v>
      </c>
      <c r="N31" s="113">
        <f>SUBTOTAL(109,Décaissements[Période 10])</f>
        <v>4859.3200000000006</v>
      </c>
      <c r="O31" s="113">
        <f>SUBTOTAL(109,Décaissements[Période 11])</f>
        <v>442.07000000000005</v>
      </c>
      <c r="P31" s="113">
        <f>SUBTOTAL(109,Décaissements[Période 12])</f>
        <v>100.07</v>
      </c>
      <c r="Q31" s="113"/>
      <c r="R31" s="113">
        <f>SUBTOTAL(109,Décaissements[Total])</f>
        <v>7590.13</v>
      </c>
      <c r="S31" s="113"/>
    </row>
    <row r="32" spans="1:19" s="49" customFormat="1" ht="17.25" customHeight="1" x14ac:dyDescent="0.3">
      <c r="A32" s="67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</row>
    <row r="33" spans="1:19" s="49" customFormat="1" ht="17.25" customHeight="1" thickBot="1" x14ac:dyDescent="0.45">
      <c r="A33" s="67"/>
      <c r="B33" s="80" t="s">
        <v>107</v>
      </c>
      <c r="C33" s="7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70"/>
      <c r="R33" s="67"/>
      <c r="S33" s="67"/>
    </row>
    <row r="34" spans="1:19" s="49" customFormat="1" ht="17.25" customHeight="1" thickTop="1" x14ac:dyDescent="0.3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</row>
    <row r="35" spans="1:19" s="49" customFormat="1" ht="17.25" customHeight="1" x14ac:dyDescent="0.3">
      <c r="A35" s="67"/>
      <c r="B35" s="81" t="s">
        <v>108</v>
      </c>
      <c r="C35" s="70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71"/>
      <c r="R35" s="83">
        <f>SUM(Décaissements2[[#This Row],[Période 0]:[Période 12]])</f>
        <v>0</v>
      </c>
      <c r="S35" s="84"/>
    </row>
    <row r="36" spans="1:19" s="49" customFormat="1" ht="17.25" customHeight="1" x14ac:dyDescent="0.3">
      <c r="A36" s="67"/>
      <c r="B36" s="81" t="s">
        <v>109</v>
      </c>
      <c r="C36" s="70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71"/>
      <c r="R36" s="83">
        <f>SUM(Décaissements2[[#This Row],[Période 0]:[Période 12]])</f>
        <v>0</v>
      </c>
      <c r="S36" s="84"/>
    </row>
    <row r="37" spans="1:19" s="49" customFormat="1" ht="17.25" customHeight="1" x14ac:dyDescent="0.3">
      <c r="A37" s="67"/>
      <c r="B37" s="81" t="s">
        <v>110</v>
      </c>
      <c r="C37" s="70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71"/>
      <c r="R37" s="83">
        <f>SUM(Décaissements2[[#This Row],[Période 0]:[Période 12]])</f>
        <v>0</v>
      </c>
      <c r="S37" s="84"/>
    </row>
    <row r="38" spans="1:19" s="49" customFormat="1" ht="17.25" customHeight="1" x14ac:dyDescent="0.3">
      <c r="A38" s="67"/>
      <c r="B38" s="81" t="s">
        <v>111</v>
      </c>
      <c r="C38" s="70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71"/>
      <c r="R38" s="83">
        <f>SUM(Décaissements2[[#This Row],[Période 0]:[Période 12]])</f>
        <v>0</v>
      </c>
      <c r="S38" s="84"/>
    </row>
    <row r="39" spans="1:19" s="50" customFormat="1" ht="17.25" customHeight="1" x14ac:dyDescent="0.3">
      <c r="A39" s="34"/>
      <c r="B39" s="81" t="s">
        <v>112</v>
      </c>
      <c r="C39" s="70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71"/>
      <c r="R39" s="83">
        <f>SUM(Décaissements2[[#This Row],[Période 0]:[Période 12]])</f>
        <v>0</v>
      </c>
      <c r="S39" s="84"/>
    </row>
    <row r="40" spans="1:19" s="49" customFormat="1" ht="17.25" customHeight="1" x14ac:dyDescent="0.3">
      <c r="A40" s="67"/>
      <c r="B40" s="109" t="s">
        <v>86</v>
      </c>
      <c r="C40" s="70"/>
      <c r="D40" s="83">
        <f>SUBTOTAL(109,Décaissements2[Période 0])</f>
        <v>0</v>
      </c>
      <c r="E40" s="83">
        <f>SUBTOTAL(109,Décaissements2[Période 1])</f>
        <v>0</v>
      </c>
      <c r="F40" s="83">
        <f>SUBTOTAL(109,Décaissements2[Période 2])</f>
        <v>0</v>
      </c>
      <c r="G40" s="83">
        <f>SUBTOTAL(109,Décaissements2[Période 3])</f>
        <v>0</v>
      </c>
      <c r="H40" s="83">
        <f>SUBTOTAL(109,Décaissements2[Période 4])</f>
        <v>0</v>
      </c>
      <c r="I40" s="83">
        <f>SUBTOTAL(109,Décaissements2[Période 5])</f>
        <v>0</v>
      </c>
      <c r="J40" s="83">
        <f>SUBTOTAL(109,Décaissements2[Période 6])</f>
        <v>0</v>
      </c>
      <c r="K40" s="83">
        <f>SUBTOTAL(109,Décaissements2[Période 7])</f>
        <v>0</v>
      </c>
      <c r="L40" s="83">
        <f>SUBTOTAL(109,Décaissements2[Période 8])</f>
        <v>0</v>
      </c>
      <c r="M40" s="83">
        <f>SUBTOTAL(109,Décaissements2[Période 9])</f>
        <v>0</v>
      </c>
      <c r="N40" s="83">
        <f>SUBTOTAL(109,Décaissements2[Période 10])</f>
        <v>0</v>
      </c>
      <c r="O40" s="83">
        <f>SUBTOTAL(109,Décaissements2[Période 11])</f>
        <v>0</v>
      </c>
      <c r="P40" s="83">
        <f>SUBTOTAL(109,Décaissements2[Période 12])</f>
        <v>0</v>
      </c>
      <c r="Q40" s="71"/>
      <c r="R40" s="83">
        <f>SUBTOTAL(109,Décaissements2[Total])</f>
        <v>0</v>
      </c>
      <c r="S40" s="110"/>
    </row>
    <row r="41" spans="1:19" s="49" customFormat="1" ht="17.25" customHeight="1" thickBot="1" x14ac:dyDescent="0.35">
      <c r="A41" s="67"/>
      <c r="B41" s="76" t="s">
        <v>113</v>
      </c>
      <c r="C41" s="77"/>
      <c r="D41" s="78">
        <f>SUM(Décaissements[Période 0],Décaissements2[Période 0])</f>
        <v>0</v>
      </c>
      <c r="E41" s="78">
        <f>SUM(Décaissements[Période 1],Décaissements2[Période 1])</f>
        <v>60.24</v>
      </c>
      <c r="F41" s="78">
        <f>SUM(Décaissements[Période 2],Décaissements2[Période 2])</f>
        <v>59.38</v>
      </c>
      <c r="G41" s="78">
        <f>SUM(Décaissements[Période 3],Décaissements2[Période 3])</f>
        <v>59.38</v>
      </c>
      <c r="H41" s="78">
        <f>SUM(Décaissements[Période 4],Décaissements2[Période 4])</f>
        <v>401.38</v>
      </c>
      <c r="I41" s="78">
        <f>SUM(Décaissements[Période 5],Décaissements2[Période 5])</f>
        <v>527.01</v>
      </c>
      <c r="J41" s="78">
        <f>SUM(Décaissements[Période 6],Décaissements2[Période 6])</f>
        <v>441.32000000000005</v>
      </c>
      <c r="K41" s="78">
        <f>SUM(Décaissements[Période 7],Décaissements2[Période 7])</f>
        <v>99.32</v>
      </c>
      <c r="L41" s="78">
        <f>SUM(Décaissements[Période 8],Décaissements2[Période 8])</f>
        <v>441.32000000000005</v>
      </c>
      <c r="M41" s="78">
        <f>SUM(Décaissements[Période 9],Décaissements2[Période 9])</f>
        <v>99.32</v>
      </c>
      <c r="N41" s="78">
        <f>SUM(Décaissements[Période 10],Décaissements2[Période 10])</f>
        <v>4859.3200000000006</v>
      </c>
      <c r="O41" s="78">
        <f>SUM(Décaissements[Période 11],Décaissements2[Période 11])</f>
        <v>442.07000000000005</v>
      </c>
      <c r="P41" s="111">
        <f>SUM(Décaissements[Période 12],Décaissements2[Période 12])</f>
        <v>100.07</v>
      </c>
      <c r="Q41" s="77"/>
      <c r="R41" s="78">
        <f>SUM(Décaissements[Total],Décaissements2[Total])</f>
        <v>7590.13</v>
      </c>
      <c r="S41" s="51"/>
    </row>
    <row r="42" spans="1:19" s="49" customFormat="1" ht="17.25" customHeight="1" x14ac:dyDescent="0.3">
      <c r="A42" s="67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</row>
    <row r="43" spans="1:19" s="49" customFormat="1" ht="17.25" customHeight="1" thickBot="1" x14ac:dyDescent="0.35">
      <c r="A43" s="67"/>
      <c r="B43" s="76" t="s">
        <v>114</v>
      </c>
      <c r="C43" s="77"/>
      <c r="D43" s="78">
        <f t="shared" ref="D43:P43" si="13">D16-D41</f>
        <v>2922.08</v>
      </c>
      <c r="E43" s="78">
        <f t="shared" si="13"/>
        <v>3608.84</v>
      </c>
      <c r="F43" s="78">
        <f t="shared" si="13"/>
        <v>4296.46</v>
      </c>
      <c r="G43" s="78">
        <f t="shared" si="13"/>
        <v>4984.08</v>
      </c>
      <c r="H43" s="78">
        <f t="shared" si="13"/>
        <v>5329.7</v>
      </c>
      <c r="I43" s="78">
        <f t="shared" si="13"/>
        <v>5549.69</v>
      </c>
      <c r="J43" s="78">
        <f t="shared" si="13"/>
        <v>5855.37</v>
      </c>
      <c r="K43" s="78">
        <f t="shared" si="13"/>
        <v>6503.05</v>
      </c>
      <c r="L43" s="78">
        <f t="shared" si="13"/>
        <v>6808.7300000000005</v>
      </c>
      <c r="M43" s="78">
        <f t="shared" si="13"/>
        <v>7456.4100000000008</v>
      </c>
      <c r="N43" s="78">
        <f t="shared" si="13"/>
        <v>3344.0899999999992</v>
      </c>
      <c r="O43" s="78">
        <f t="shared" si="13"/>
        <v>3649.0199999999991</v>
      </c>
      <c r="P43" s="111">
        <f t="shared" si="13"/>
        <v>4295.9499999999989</v>
      </c>
      <c r="Q43" s="77"/>
      <c r="R43" s="78">
        <f>R16-R41</f>
        <v>5022.8899999999985</v>
      </c>
      <c r="S43" s="51"/>
    </row>
    <row r="44" spans="1:19" s="49" customFormat="1" ht="17.25" customHeight="1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</row>
    <row r="45" spans="1:19" s="49" customFormat="1" ht="17.25" customHeight="1" x14ac:dyDescent="0.3"/>
    <row r="46" spans="1:19" s="49" customFormat="1" ht="17.25" customHeight="1" x14ac:dyDescent="0.3"/>
    <row r="47" spans="1:19" s="49" customFormat="1" ht="17.25" customHeight="1" x14ac:dyDescent="0.3"/>
    <row r="48" spans="1:19" s="49" customFormat="1" ht="17.25" customHeight="1" x14ac:dyDescent="0.3"/>
    <row r="49" s="49" customFormat="1" x14ac:dyDescent="0.3"/>
    <row r="50" s="49" customFormat="1" x14ac:dyDescent="0.3"/>
    <row r="51" s="49" customFormat="1" x14ac:dyDescent="0.3"/>
    <row r="52" s="49" customFormat="1" x14ac:dyDescent="0.3"/>
    <row r="53" s="49" customFormat="1" x14ac:dyDescent="0.3"/>
    <row r="54" s="49" customFormat="1" x14ac:dyDescent="0.3"/>
    <row r="55" s="49" customFormat="1" x14ac:dyDescent="0.3"/>
    <row r="56" s="49" customFormat="1" x14ac:dyDescent="0.3"/>
    <row r="57" s="49" customFormat="1" x14ac:dyDescent="0.3"/>
    <row r="58" s="49" customFormat="1" x14ac:dyDescent="0.3"/>
    <row r="59" s="49" customFormat="1" x14ac:dyDescent="0.3"/>
    <row r="60" s="49" customFormat="1" x14ac:dyDescent="0.3"/>
    <row r="61" s="49" customFormat="1" x14ac:dyDescent="0.3"/>
    <row r="62" s="49" customFormat="1" x14ac:dyDescent="0.3"/>
    <row r="63" s="49" customFormat="1" x14ac:dyDescent="0.3"/>
    <row r="64" s="49" customFormat="1" x14ac:dyDescent="0.3"/>
    <row r="65" s="49" customFormat="1" x14ac:dyDescent="0.3"/>
    <row r="66" s="49" customFormat="1" x14ac:dyDescent="0.3"/>
    <row r="67" s="49" customFormat="1" x14ac:dyDescent="0.3"/>
    <row r="68" s="49" customFormat="1" x14ac:dyDescent="0.3"/>
    <row r="69" s="49" customFormat="1" x14ac:dyDescent="0.3"/>
    <row r="70" s="49" customFormat="1" x14ac:dyDescent="0.3"/>
    <row r="71" s="49" customFormat="1" x14ac:dyDescent="0.3"/>
    <row r="72" s="49" customFormat="1" x14ac:dyDescent="0.3"/>
    <row r="73" s="49" customFormat="1" x14ac:dyDescent="0.3"/>
    <row r="74" s="49" customFormat="1" x14ac:dyDescent="0.3"/>
    <row r="75" s="49" customFormat="1" x14ac:dyDescent="0.3"/>
    <row r="76" s="49" customFormat="1" x14ac:dyDescent="0.3"/>
    <row r="77" s="49" customFormat="1" x14ac:dyDescent="0.3"/>
    <row r="78" s="49" customFormat="1" x14ac:dyDescent="0.3"/>
    <row r="79" s="49" customFormat="1" x14ac:dyDescent="0.3"/>
    <row r="80" s="49" customFormat="1" x14ac:dyDescent="0.3"/>
    <row r="81" s="49" customFormat="1" x14ac:dyDescent="0.3"/>
    <row r="82" s="49" customFormat="1" x14ac:dyDescent="0.3"/>
    <row r="83" s="49" customFormat="1" x14ac:dyDescent="0.3"/>
    <row r="84" s="49" customFormat="1" x14ac:dyDescent="0.3"/>
    <row r="85" s="49" customFormat="1" x14ac:dyDescent="0.3"/>
    <row r="86" s="49" customFormat="1" x14ac:dyDescent="0.3"/>
    <row r="87" s="49" customFormat="1" x14ac:dyDescent="0.3"/>
    <row r="88" s="49" customFormat="1" x14ac:dyDescent="0.3"/>
    <row r="89" s="49" customFormat="1" x14ac:dyDescent="0.3"/>
    <row r="90" s="49" customFormat="1" x14ac:dyDescent="0.3"/>
    <row r="91" s="49" customFormat="1" x14ac:dyDescent="0.3"/>
    <row r="92" s="49" customFormat="1" x14ac:dyDescent="0.3"/>
    <row r="93" s="49" customFormat="1" x14ac:dyDescent="0.3"/>
    <row r="94" s="49" customFormat="1" x14ac:dyDescent="0.3"/>
    <row r="95" s="49" customFormat="1" x14ac:dyDescent="0.3"/>
    <row r="96" s="49" customFormat="1" x14ac:dyDescent="0.3"/>
    <row r="97" s="49" customFormat="1" x14ac:dyDescent="0.3"/>
    <row r="98" s="49" customFormat="1" x14ac:dyDescent="0.3"/>
    <row r="99" s="49" customFormat="1" x14ac:dyDescent="0.3"/>
    <row r="100" s="49" customFormat="1" x14ac:dyDescent="0.3"/>
    <row r="101" s="49" customFormat="1" x14ac:dyDescent="0.3"/>
    <row r="102" s="49" customFormat="1" x14ac:dyDescent="0.3"/>
    <row r="103" s="49" customFormat="1" x14ac:dyDescent="0.3"/>
    <row r="104" s="49" customFormat="1" x14ac:dyDescent="0.3"/>
    <row r="105" s="49" customFormat="1" x14ac:dyDescent="0.3"/>
    <row r="106" s="49" customFormat="1" x14ac:dyDescent="0.3"/>
    <row r="107" s="49" customFormat="1" x14ac:dyDescent="0.3"/>
    <row r="108" s="49" customFormat="1" x14ac:dyDescent="0.3"/>
    <row r="109" s="49" customFormat="1" x14ac:dyDescent="0.3"/>
    <row r="110" s="49" customFormat="1" x14ac:dyDescent="0.3"/>
    <row r="111" s="49" customFormat="1" x14ac:dyDescent="0.3"/>
    <row r="112" s="49" customFormat="1" x14ac:dyDescent="0.3"/>
    <row r="113" s="49" customFormat="1" x14ac:dyDescent="0.3"/>
    <row r="114" s="49" customFormat="1" x14ac:dyDescent="0.3"/>
    <row r="115" s="49" customFormat="1" x14ac:dyDescent="0.3"/>
    <row r="116" s="49" customFormat="1" x14ac:dyDescent="0.3"/>
    <row r="117" s="49" customFormat="1" x14ac:dyDescent="0.3"/>
    <row r="118" s="49" customFormat="1" x14ac:dyDescent="0.3"/>
    <row r="119" s="49" customFormat="1" x14ac:dyDescent="0.3"/>
    <row r="120" s="49" customFormat="1" x14ac:dyDescent="0.3"/>
    <row r="121" s="49" customFormat="1" x14ac:dyDescent="0.3"/>
    <row r="122" s="49" customFormat="1" x14ac:dyDescent="0.3"/>
    <row r="123" s="49" customFormat="1" x14ac:dyDescent="0.3"/>
    <row r="124" s="49" customFormat="1" x14ac:dyDescent="0.3"/>
    <row r="125" s="49" customFormat="1" x14ac:dyDescent="0.3"/>
    <row r="126" s="49" customFormat="1" x14ac:dyDescent="0.3"/>
    <row r="127" s="49" customFormat="1" x14ac:dyDescent="0.3"/>
    <row r="128" s="49" customFormat="1" x14ac:dyDescent="0.3"/>
    <row r="129" s="49" customFormat="1" x14ac:dyDescent="0.3"/>
    <row r="130" s="49" customFormat="1" x14ac:dyDescent="0.3"/>
    <row r="131" s="49" customFormat="1" x14ac:dyDescent="0.3"/>
    <row r="132" s="49" customFormat="1" x14ac:dyDescent="0.3"/>
    <row r="133" s="49" customFormat="1" x14ac:dyDescent="0.3"/>
    <row r="134" s="49" customFormat="1" x14ac:dyDescent="0.3"/>
    <row r="135" s="49" customFormat="1" x14ac:dyDescent="0.3"/>
    <row r="136" s="49" customFormat="1" x14ac:dyDescent="0.3"/>
    <row r="137" s="49" customFormat="1" x14ac:dyDescent="0.3"/>
    <row r="138" s="49" customFormat="1" x14ac:dyDescent="0.3"/>
    <row r="139" s="49" customFormat="1" x14ac:dyDescent="0.3"/>
    <row r="140" s="49" customFormat="1" x14ac:dyDescent="0.3"/>
    <row r="141" s="49" customFormat="1" x14ac:dyDescent="0.3"/>
    <row r="142" s="49" customFormat="1" x14ac:dyDescent="0.3"/>
    <row r="143" s="49" customFormat="1" x14ac:dyDescent="0.3"/>
    <row r="144" s="49" customFormat="1" x14ac:dyDescent="0.3"/>
    <row r="145" s="49" customFormat="1" x14ac:dyDescent="0.3"/>
    <row r="146" s="49" customFormat="1" x14ac:dyDescent="0.3"/>
    <row r="147" s="49" customFormat="1" x14ac:dyDescent="0.3"/>
    <row r="148" s="49" customFormat="1" x14ac:dyDescent="0.3"/>
    <row r="149" s="49" customFormat="1" x14ac:dyDescent="0.3"/>
    <row r="150" s="49" customFormat="1" x14ac:dyDescent="0.3"/>
    <row r="151" s="49" customFormat="1" x14ac:dyDescent="0.3"/>
    <row r="152" s="49" customFormat="1" x14ac:dyDescent="0.3"/>
    <row r="153" s="49" customFormat="1" x14ac:dyDescent="0.3"/>
    <row r="154" s="49" customFormat="1" x14ac:dyDescent="0.3"/>
    <row r="155" s="49" customFormat="1" x14ac:dyDescent="0.3"/>
    <row r="156" s="49" customFormat="1" x14ac:dyDescent="0.3"/>
    <row r="157" s="49" customFormat="1" x14ac:dyDescent="0.3"/>
    <row r="158" s="49" customFormat="1" x14ac:dyDescent="0.3"/>
    <row r="159" s="49" customFormat="1" x14ac:dyDescent="0.3"/>
    <row r="160" s="49" customFormat="1" x14ac:dyDescent="0.3"/>
    <row r="161" s="49" customFormat="1" x14ac:dyDescent="0.3"/>
    <row r="162" s="49" customFormat="1" x14ac:dyDescent="0.3"/>
    <row r="163" s="49" customFormat="1" x14ac:dyDescent="0.3"/>
    <row r="164" s="49" customFormat="1" x14ac:dyDescent="0.3"/>
    <row r="165" s="49" customFormat="1" x14ac:dyDescent="0.3"/>
    <row r="166" s="49" customFormat="1" x14ac:dyDescent="0.3"/>
    <row r="167" s="49" customFormat="1" x14ac:dyDescent="0.3"/>
    <row r="168" s="49" customFormat="1" x14ac:dyDescent="0.3"/>
    <row r="169" s="49" customFormat="1" x14ac:dyDescent="0.3"/>
    <row r="170" s="49" customFormat="1" x14ac:dyDescent="0.3"/>
    <row r="171" s="49" customFormat="1" x14ac:dyDescent="0.3"/>
    <row r="172" s="49" customFormat="1" x14ac:dyDescent="0.3"/>
    <row r="173" s="49" customFormat="1" x14ac:dyDescent="0.3"/>
    <row r="174" s="49" customFormat="1" x14ac:dyDescent="0.3"/>
    <row r="175" s="49" customFormat="1" x14ac:dyDescent="0.3"/>
    <row r="176" s="49" customFormat="1" x14ac:dyDescent="0.3"/>
    <row r="177" s="49" customFormat="1" x14ac:dyDescent="0.3"/>
    <row r="178" s="49" customFormat="1" x14ac:dyDescent="0.3"/>
    <row r="179" s="49" customFormat="1" x14ac:dyDescent="0.3"/>
    <row r="180" s="49" customFormat="1" x14ac:dyDescent="0.3"/>
    <row r="181" s="49" customFormat="1" x14ac:dyDescent="0.3"/>
    <row r="182" s="49" customFormat="1" x14ac:dyDescent="0.3"/>
    <row r="183" s="49" customFormat="1" x14ac:dyDescent="0.3"/>
    <row r="184" s="49" customFormat="1" x14ac:dyDescent="0.3"/>
    <row r="185" s="49" customFormat="1" x14ac:dyDescent="0.3"/>
    <row r="186" s="49" customFormat="1" x14ac:dyDescent="0.3"/>
    <row r="187" s="49" customFormat="1" x14ac:dyDescent="0.3"/>
    <row r="188" s="49" customFormat="1" x14ac:dyDescent="0.3"/>
    <row r="189" s="49" customFormat="1" x14ac:dyDescent="0.3"/>
    <row r="190" s="49" customFormat="1" x14ac:dyDescent="0.3"/>
    <row r="191" s="49" customFormat="1" x14ac:dyDescent="0.3"/>
    <row r="192" s="49" customFormat="1" x14ac:dyDescent="0.3"/>
    <row r="193" s="49" customFormat="1" x14ac:dyDescent="0.3"/>
    <row r="194" s="49" customFormat="1" x14ac:dyDescent="0.3"/>
    <row r="195" s="49" customFormat="1" x14ac:dyDescent="0.3"/>
    <row r="196" s="49" customFormat="1" x14ac:dyDescent="0.3"/>
    <row r="197" s="49" customFormat="1" x14ac:dyDescent="0.3"/>
    <row r="198" s="49" customFormat="1" x14ac:dyDescent="0.3"/>
    <row r="199" s="49" customFormat="1" x14ac:dyDescent="0.3"/>
    <row r="200" s="49" customFormat="1" x14ac:dyDescent="0.3"/>
    <row r="201" s="49" customFormat="1" x14ac:dyDescent="0.3"/>
    <row r="202" s="49" customFormat="1" x14ac:dyDescent="0.3"/>
    <row r="203" s="49" customFormat="1" x14ac:dyDescent="0.3"/>
    <row r="204" s="49" customFormat="1" x14ac:dyDescent="0.3"/>
    <row r="205" s="49" customFormat="1" x14ac:dyDescent="0.3"/>
    <row r="206" s="49" customFormat="1" x14ac:dyDescent="0.3"/>
    <row r="207" s="49" customFormat="1" x14ac:dyDescent="0.3"/>
    <row r="208" s="49" customFormat="1" x14ac:dyDescent="0.3"/>
    <row r="209" s="49" customFormat="1" x14ac:dyDescent="0.3"/>
    <row r="210" s="49" customFormat="1" x14ac:dyDescent="0.3"/>
    <row r="211" s="49" customFormat="1" x14ac:dyDescent="0.3"/>
    <row r="212" s="49" customFormat="1" x14ac:dyDescent="0.3"/>
    <row r="213" s="49" customFormat="1" x14ac:dyDescent="0.3"/>
    <row r="214" s="49" customFormat="1" x14ac:dyDescent="0.3"/>
    <row r="215" s="49" customFormat="1" x14ac:dyDescent="0.3"/>
    <row r="216" s="49" customFormat="1" x14ac:dyDescent="0.3"/>
    <row r="217" s="49" customFormat="1" x14ac:dyDescent="0.3"/>
    <row r="218" s="49" customFormat="1" x14ac:dyDescent="0.3"/>
    <row r="219" s="49" customFormat="1" x14ac:dyDescent="0.3"/>
    <row r="220" s="49" customFormat="1" x14ac:dyDescent="0.3"/>
    <row r="221" s="49" customFormat="1" x14ac:dyDescent="0.3"/>
    <row r="222" s="49" customFormat="1" x14ac:dyDescent="0.3"/>
    <row r="223" s="49" customFormat="1" x14ac:dyDescent="0.3"/>
    <row r="224" s="49" customFormat="1" x14ac:dyDescent="0.3"/>
    <row r="225" s="49" customFormat="1" x14ac:dyDescent="0.3"/>
    <row r="226" s="49" customFormat="1" x14ac:dyDescent="0.3"/>
    <row r="227" s="49" customFormat="1" x14ac:dyDescent="0.3"/>
    <row r="228" s="49" customFormat="1" x14ac:dyDescent="0.3"/>
    <row r="229" s="49" customFormat="1" x14ac:dyDescent="0.3"/>
    <row r="230" s="49" customFormat="1" x14ac:dyDescent="0.3"/>
    <row r="231" s="49" customFormat="1" x14ac:dyDescent="0.3"/>
    <row r="232" s="49" customFormat="1" x14ac:dyDescent="0.3"/>
    <row r="233" s="49" customFormat="1" x14ac:dyDescent="0.3"/>
    <row r="234" s="49" customFormat="1" x14ac:dyDescent="0.3"/>
    <row r="235" s="49" customFormat="1" x14ac:dyDescent="0.3"/>
    <row r="236" s="49" customFormat="1" x14ac:dyDescent="0.3"/>
    <row r="237" s="49" customFormat="1" x14ac:dyDescent="0.3"/>
    <row r="238" s="49" customFormat="1" x14ac:dyDescent="0.3"/>
    <row r="239" s="49" customFormat="1" x14ac:dyDescent="0.3"/>
    <row r="240" s="49" customFormat="1" x14ac:dyDescent="0.3"/>
    <row r="241" s="49" customFormat="1" x14ac:dyDescent="0.3"/>
    <row r="242" s="49" customFormat="1" x14ac:dyDescent="0.3"/>
    <row r="243" s="49" customFormat="1" x14ac:dyDescent="0.3"/>
    <row r="244" s="49" customFormat="1" x14ac:dyDescent="0.3"/>
    <row r="245" s="49" customFormat="1" x14ac:dyDescent="0.3"/>
    <row r="246" s="49" customFormat="1" x14ac:dyDescent="0.3"/>
    <row r="247" s="49" customFormat="1" x14ac:dyDescent="0.3"/>
    <row r="248" s="49" customFormat="1" x14ac:dyDescent="0.3"/>
    <row r="249" s="49" customFormat="1" x14ac:dyDescent="0.3"/>
    <row r="250" s="49" customFormat="1" x14ac:dyDescent="0.3"/>
    <row r="251" s="49" customFormat="1" x14ac:dyDescent="0.3"/>
    <row r="252" s="49" customFormat="1" x14ac:dyDescent="0.3"/>
    <row r="253" s="49" customFormat="1" x14ac:dyDescent="0.3"/>
    <row r="254" s="49" customFormat="1" x14ac:dyDescent="0.3"/>
    <row r="255" s="49" customFormat="1" x14ac:dyDescent="0.3"/>
    <row r="256" s="49" customFormat="1" x14ac:dyDescent="0.3"/>
    <row r="257" s="49" customFormat="1" x14ac:dyDescent="0.3"/>
    <row r="258" s="49" customFormat="1" x14ac:dyDescent="0.3"/>
    <row r="259" s="49" customFormat="1" x14ac:dyDescent="0.3"/>
    <row r="260" s="49" customFormat="1" x14ac:dyDescent="0.3"/>
    <row r="261" s="49" customFormat="1" x14ac:dyDescent="0.3"/>
    <row r="262" s="49" customFormat="1" x14ac:dyDescent="0.3"/>
    <row r="263" s="49" customFormat="1" x14ac:dyDescent="0.3"/>
    <row r="264" s="49" customFormat="1" x14ac:dyDescent="0.3"/>
    <row r="265" s="49" customFormat="1" x14ac:dyDescent="0.3"/>
    <row r="266" s="49" customFormat="1" x14ac:dyDescent="0.3"/>
    <row r="267" s="49" customFormat="1" x14ac:dyDescent="0.3"/>
    <row r="268" s="49" customFormat="1" x14ac:dyDescent="0.3"/>
    <row r="269" s="49" customFormat="1" x14ac:dyDescent="0.3"/>
    <row r="270" s="49" customFormat="1" x14ac:dyDescent="0.3"/>
    <row r="271" s="49" customFormat="1" x14ac:dyDescent="0.3"/>
    <row r="272" s="49" customFormat="1" x14ac:dyDescent="0.3"/>
    <row r="273" s="49" customFormat="1" x14ac:dyDescent="0.3"/>
    <row r="274" s="49" customFormat="1" x14ac:dyDescent="0.3"/>
    <row r="275" s="49" customFormat="1" x14ac:dyDescent="0.3"/>
    <row r="276" s="49" customFormat="1" x14ac:dyDescent="0.3"/>
    <row r="277" s="49" customFormat="1" x14ac:dyDescent="0.3"/>
    <row r="278" s="49" customFormat="1" x14ac:dyDescent="0.3"/>
    <row r="279" s="49" customFormat="1" x14ac:dyDescent="0.3"/>
    <row r="280" s="49" customFormat="1" x14ac:dyDescent="0.3"/>
    <row r="281" s="49" customFormat="1" x14ac:dyDescent="0.3"/>
    <row r="282" s="49" customFormat="1" x14ac:dyDescent="0.3"/>
    <row r="283" s="49" customFormat="1" x14ac:dyDescent="0.3"/>
    <row r="284" s="49" customFormat="1" x14ac:dyDescent="0.3"/>
    <row r="285" s="49" customFormat="1" x14ac:dyDescent="0.3"/>
    <row r="286" s="49" customFormat="1" x14ac:dyDescent="0.3"/>
    <row r="287" s="49" customFormat="1" x14ac:dyDescent="0.3"/>
    <row r="288" s="49" customFormat="1" x14ac:dyDescent="0.3"/>
    <row r="289" s="49" customFormat="1" x14ac:dyDescent="0.3"/>
    <row r="290" s="49" customFormat="1" x14ac:dyDescent="0.3"/>
    <row r="291" s="49" customFormat="1" x14ac:dyDescent="0.3"/>
    <row r="292" s="49" customFormat="1" x14ac:dyDescent="0.3"/>
    <row r="293" s="49" customFormat="1" x14ac:dyDescent="0.3"/>
    <row r="294" s="49" customFormat="1" x14ac:dyDescent="0.3"/>
    <row r="295" s="49" customFormat="1" x14ac:dyDescent="0.3"/>
    <row r="296" s="49" customFormat="1" x14ac:dyDescent="0.3"/>
    <row r="297" s="49" customFormat="1" x14ac:dyDescent="0.3"/>
    <row r="298" s="49" customFormat="1" x14ac:dyDescent="0.3"/>
    <row r="299" s="49" customFormat="1" x14ac:dyDescent="0.3"/>
    <row r="300" s="49" customFormat="1" x14ac:dyDescent="0.3"/>
    <row r="301" s="49" customFormat="1" x14ac:dyDescent="0.3"/>
    <row r="302" s="49" customFormat="1" x14ac:dyDescent="0.3"/>
    <row r="303" s="49" customFormat="1" x14ac:dyDescent="0.3"/>
    <row r="304" s="49" customFormat="1" x14ac:dyDescent="0.3"/>
    <row r="305" s="49" customFormat="1" x14ac:dyDescent="0.3"/>
    <row r="306" s="49" customFormat="1" x14ac:dyDescent="0.3"/>
    <row r="307" s="49" customFormat="1" x14ac:dyDescent="0.3"/>
    <row r="308" s="49" customFormat="1" x14ac:dyDescent="0.3"/>
    <row r="309" s="49" customFormat="1" x14ac:dyDescent="0.3"/>
    <row r="310" s="49" customFormat="1" x14ac:dyDescent="0.3"/>
    <row r="311" s="49" customFormat="1" x14ac:dyDescent="0.3"/>
    <row r="312" s="49" customFormat="1" x14ac:dyDescent="0.3"/>
    <row r="313" s="49" customFormat="1" x14ac:dyDescent="0.3"/>
    <row r="314" s="49" customFormat="1" x14ac:dyDescent="0.3"/>
    <row r="315" s="49" customFormat="1" x14ac:dyDescent="0.3"/>
    <row r="316" s="49" customFormat="1" x14ac:dyDescent="0.3"/>
    <row r="317" s="49" customFormat="1" x14ac:dyDescent="0.3"/>
    <row r="318" s="49" customFormat="1" x14ac:dyDescent="0.3"/>
    <row r="319" s="49" customFormat="1" x14ac:dyDescent="0.3"/>
    <row r="320" s="49" customFormat="1" x14ac:dyDescent="0.3"/>
    <row r="321" s="49" customFormat="1" x14ac:dyDescent="0.3"/>
    <row r="322" s="49" customFormat="1" x14ac:dyDescent="0.3"/>
    <row r="323" s="49" customFormat="1" x14ac:dyDescent="0.3"/>
    <row r="324" s="49" customFormat="1" x14ac:dyDescent="0.3"/>
    <row r="325" s="49" customFormat="1" x14ac:dyDescent="0.3"/>
    <row r="326" s="49" customFormat="1" x14ac:dyDescent="0.3"/>
    <row r="327" s="49" customFormat="1" x14ac:dyDescent="0.3"/>
  </sheetData>
  <mergeCells count="2">
    <mergeCell ref="B17:S17"/>
    <mergeCell ref="B42:S42"/>
  </mergeCells>
  <conditionalFormatting sqref="E43:P43">
    <cfRule type="expression" dxfId="123" priority="2">
      <formula>E43&lt;0</formula>
    </cfRule>
  </conditionalFormatting>
  <conditionalFormatting sqref="E16:P16">
    <cfRule type="expression" dxfId="122" priority="1">
      <formula>E16&lt;0</formula>
    </cfRule>
  </conditionalFormatting>
  <pageMargins left="0.7" right="0.7" top="0.75" bottom="0.75" header="0.3" footer="0.3"/>
  <pageSetup paperSize="9" orientation="portrait" r:id="rId1"/>
  <legacy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9F582280-A64A-4980-98FB-776FC5B540C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D16:R16</xm:sqref>
        </x14:conditionalFormatting>
        <x14:conditionalFormatting xmlns:xm="http://schemas.microsoft.com/office/excel/2006/main">
          <x14:cfRule type="iconSet" priority="6" id="{2FC7A1C9-147C-41F7-83E8-5A0574B3754F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D43:P43 R43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0" tint="-0.34998626667073579"/>
          <x14:colorNegative theme="9"/>
          <x14:colorAxis rgb="FF000000"/>
          <x14:colorMarkers theme="9"/>
          <x14:colorFirst theme="4"/>
          <x14:colorLast theme="5"/>
          <x14:colorHigh theme="6"/>
          <x14:colorLow theme="7"/>
          <x14:sparklines>
            <x14:sparkline>
              <xm:f>'Trésorerie Prévisionnelle'!D43:P43</xm:f>
              <xm:sqref>S43</xm:sqref>
            </x14:sparkline>
            <x14:sparkline>
              <xm:f>'Trésorerie Prévisionnelle'!D16:P16</xm:f>
              <xm:sqref>S16</xm:sqref>
            </x14:sparkline>
            <x14:sparkline>
              <xm:f>'Trésorerie Prévisionnelle'!D40:P40</xm:f>
              <xm:sqref>S40</xm:sqref>
            </x14:sparkline>
            <x14:sparkline>
              <xm:f>'Trésorerie Prévisionnelle'!D41:P41</xm:f>
              <xm:sqref>S41</xm:sqref>
            </x14:sparkline>
            <x14:sparkline>
              <xm:f>'Trésorerie Prévisionnelle'!D31:P31</xm:f>
              <xm:sqref>S31</xm:sqref>
            </x14:sparkline>
            <x14:sparkline>
              <xm:f>'Trésorerie Prévisionnelle'!D6:P6</xm:f>
              <xm:sqref>S6</xm:sqref>
            </x14:sparkline>
            <x14:sparkline>
              <xm:f>'Trésorerie Prévisionnelle'!D15:P15</xm:f>
              <xm:sqref>S15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Charges à Déduire</vt:lpstr>
      <vt:lpstr>Compte d'Exploitation</vt:lpstr>
      <vt:lpstr>Bilan</vt:lpstr>
      <vt:lpstr>Trésorerie Prévisionnelle</vt:lpstr>
      <vt:lpstr>Débutexercicecomptable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2021-01-30T10:16:46Z</dcterms:created>
  <dcterms:modified xsi:type="dcterms:W3CDTF">2026-05-03T11:49:12Z</dcterms:modified>
</cp:coreProperties>
</file>