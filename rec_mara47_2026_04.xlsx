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Sauve pkback 001\PKBACK# 001\Gestion Robert\Comptabilité Mara47\"/>
    </mc:Choice>
  </mc:AlternateContent>
  <bookViews>
    <workbookView xWindow="0" yWindow="0" windowWidth="23040" windowHeight="9780" activeTab="1"/>
  </bookViews>
  <sheets>
    <sheet name="Réconciliation" sheetId="1" r:id="rId1"/>
    <sheet name="Revenus annuels" sheetId="2" r:id="rId2"/>
    <sheet name="Feuil3" sheetId="3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C25" i="2" l="1"/>
  <c r="C23" i="2"/>
  <c r="H4" i="2"/>
  <c r="H3" i="2"/>
  <c r="H7" i="2" l="1"/>
  <c r="F7" i="1"/>
  <c r="G4" i="2" l="1"/>
  <c r="G7" i="2" s="1"/>
  <c r="G3" i="2"/>
  <c r="B12" i="1" l="1"/>
  <c r="F4" i="2" l="1"/>
  <c r="F3" i="2"/>
  <c r="F7" i="2" l="1"/>
  <c r="E7" i="2" l="1"/>
  <c r="D7" i="2" l="1"/>
  <c r="C7" i="2" l="1"/>
  <c r="B18" i="1" l="1"/>
  <c r="B10" i="2" l="1"/>
  <c r="C16" i="1" l="1"/>
</calcChain>
</file>

<file path=xl/comments1.xml><?xml version="1.0" encoding="utf-8"?>
<comments xmlns="http://schemas.openxmlformats.org/spreadsheetml/2006/main">
  <authors>
    <author>ROBERT</author>
    <author>Robert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C'est le solde en banque et non le solde réel ni le solde courant. </t>
        </r>
      </text>
    </comment>
    <comment ref="C5" authorId="1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Grand hangar (hors agence)</t>
        </r>
      </text>
    </comment>
    <comment ref="C6" authorId="1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Salon de coiffure + parking Colmar si loué
Le montant des 6 premiers mois du salon sont pris en compte dans les versements de Groupama
</t>
        </r>
      </text>
    </comment>
    <comment ref="C7" authorId="1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-(800+714) en 2023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C'est le montant cumulé de la TVA qui a été payée depuis le début de l'exercice.  
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C'est le report du reliquat de l'année précédente</t>
        </r>
      </text>
    </comment>
    <comment ref="A12" authorId="0" shapeId="0">
      <text>
        <r>
          <rPr>
            <sz val="9"/>
            <color indexed="81"/>
            <rFont val="Tahoma"/>
            <family val="2"/>
          </rPr>
          <t xml:space="preserve"> Si le signe est "+" nous nous devons cet argent en trop. S'il est "-", c'est de l'argent que l'on nous doit.
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 xml:space="preserve">En 2020 RA ch 0003 (7000 €) et MA ch 0043 (7000 €)  
En 2021 RA ch 0009  (13000 €) et MA ch 0044 (13000 )
En 2022 RA ch 0019 (3100 €) et MA ch 0045 (3100 €)
En 2023 Michel  0046 (1000 €)
En 2023 Robert 0025 (1000 €) comptabilisés sur 01 2024
En 2024 Aucun dividende
En 2025 900 euros chacun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ROBERT</author>
    <author>Robert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On a payé le passif 2019 de TVA que n'avait pas payé Foncia.</t>
        </r>
      </text>
    </comment>
    <comment ref="D7" authorId="1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  Ne tient pas compte du rtemboursement début 2022 par le SIE d'un double prélèvement. Non plus du remboursement de la taxe foncière suite à la vente à Neyner.</t>
        </r>
      </text>
    </comment>
  </commentList>
</comments>
</file>

<file path=xl/sharedStrings.xml><?xml version="1.0" encoding="utf-8"?>
<sst xmlns="http://schemas.openxmlformats.org/spreadsheetml/2006/main" count="47" uniqueCount="46">
  <si>
    <t>OUTIL de Réconciliation du compte MARA47</t>
  </si>
  <si>
    <t>Montant frais divers</t>
  </si>
  <si>
    <t>Date :</t>
  </si>
  <si>
    <t>Solde CELR MARA47</t>
  </si>
  <si>
    <t>Retenues de garantie</t>
  </si>
  <si>
    <t>euros pour chacun.</t>
  </si>
  <si>
    <t>Montant TVA reversée pour l'année</t>
  </si>
  <si>
    <t>Ecart de :</t>
  </si>
  <si>
    <t>Mise à jour</t>
  </si>
  <si>
    <t>Frais divers</t>
  </si>
  <si>
    <t>TVA versée dans l'année</t>
  </si>
  <si>
    <t>TVA restant  à reverser dans l'année</t>
  </si>
  <si>
    <t>Loyers Indivision (nets)</t>
  </si>
  <si>
    <t xml:space="preserve">Répartition  des bénéfices </t>
  </si>
  <si>
    <t>Montant loyers indivision</t>
  </si>
  <si>
    <t>Montant loyers SCI</t>
  </si>
  <si>
    <t>Revenus nets de l'année</t>
  </si>
  <si>
    <t>Loyers SCI nets</t>
  </si>
  <si>
    <t>loyers indivision nets</t>
  </si>
  <si>
    <t>Loyers SCI nets (hors TVA)</t>
  </si>
  <si>
    <r>
      <t xml:space="preserve">   (A faire après paiement de tous les frais, </t>
    </r>
    <r>
      <rPr>
        <b/>
        <sz val="11"/>
        <color rgb="FFFF0000"/>
        <rFont val="Calibri"/>
        <family val="2"/>
        <scheme val="minor"/>
      </rPr>
      <t>y compris les taxes foncières)</t>
    </r>
  </si>
  <si>
    <t>Historique prises de revenus</t>
  </si>
  <si>
    <t>Montant banque CELR MARA47 dernier relevé</t>
  </si>
  <si>
    <t>Cagnotte enfants pour l'année en cours (à prendre dans la réconciliation)</t>
  </si>
  <si>
    <t>Cagnotte totale (ne pas prendre dans le disponible)</t>
  </si>
  <si>
    <t>En fin de mois, la réconciliation consiste à vérifier que le compte Mara47 de la banque CELR est en cohérence avec les comptes de tiers. On doit  avoir:</t>
  </si>
  <si>
    <t>B4</t>
  </si>
  <si>
    <t>B5</t>
  </si>
  <si>
    <t>B6</t>
  </si>
  <si>
    <t>B7</t>
  </si>
  <si>
    <t>B8</t>
  </si>
  <si>
    <t>B9</t>
  </si>
  <si>
    <t>B11</t>
  </si>
  <si>
    <t>E19</t>
  </si>
  <si>
    <t>B18</t>
  </si>
  <si>
    <t>B21</t>
  </si>
  <si>
    <t>Solde de la banque à fin d'année - retenues de garantie - provisions disponibles de Groupama- TVA éventuelle à reverser</t>
  </si>
  <si>
    <t xml:space="preserve">   Disponible </t>
  </si>
  <si>
    <t>Réconciliation avec la feuille de calcul pour charges (à mettre à jour en fin d'année)</t>
  </si>
  <si>
    <t>Soit B4 - B11   =  (B5+B6+E19+B8)  - (B7+B9+C30+d14)</t>
  </si>
  <si>
    <t>Factures payées pour réfection salon en 2025</t>
  </si>
  <si>
    <t>Versements Groupama en 2025</t>
  </si>
  <si>
    <t xml:space="preserve">Arrété du dernier mois - Arreté 31/12/2025 = entrées de l'année - sorties </t>
  </si>
  <si>
    <t>Montant de la banque au 31 décembre 2025</t>
  </si>
  <si>
    <t>Prise des revenus 2026</t>
  </si>
  <si>
    <t>A fin Avril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</si>
</sst>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i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9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2" fillId="2" borderId="0" xfId="0" applyNumberFormat="1" applyFont="1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applyBorder="1"/>
    <xf numFmtId="0" fontId="6" fillId="0" borderId="0" xfId="0" applyFont="1"/>
    <xf numFmtId="0" fontId="0" fillId="0" borderId="0" xfId="0" quotePrefix="1"/>
    <xf numFmtId="1" fontId="0" fillId="0" borderId="0" xfId="0" applyNumberFormat="1" applyBorder="1"/>
    <xf numFmtId="0" fontId="7" fillId="0" borderId="0" xfId="0" applyFont="1"/>
    <xf numFmtId="14" fontId="0" fillId="0" borderId="0" xfId="0" applyNumberFormat="1"/>
    <xf numFmtId="10" fontId="0" fillId="0" borderId="0" xfId="0" applyNumberFormat="1"/>
    <xf numFmtId="2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1" fontId="2" fillId="3" borderId="0" xfId="0" applyNumberFormat="1" applyFont="1" applyFill="1"/>
    <xf numFmtId="1" fontId="2" fillId="0" borderId="0" xfId="0" applyNumberFormat="1" applyFont="1"/>
    <xf numFmtId="2" fontId="6" fillId="0" borderId="0" xfId="0" applyNumberFormat="1" applyFont="1"/>
    <xf numFmtId="0" fontId="2" fillId="0" borderId="0" xfId="0" applyFont="1" applyAlignment="1">
      <alignment horizontal="center"/>
    </xf>
    <xf numFmtId="2" fontId="0" fillId="0" borderId="0" xfId="0" applyNumberFormat="1" applyBorder="1"/>
    <xf numFmtId="0" fontId="8" fillId="0" borderId="0" xfId="0" applyFont="1" applyAlignment="1">
      <alignment wrapText="1"/>
    </xf>
    <xf numFmtId="0" fontId="8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FF0000"/>
      <color rgb="FFEE0006"/>
      <color rgb="FFFF0066"/>
      <color rgb="FF00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_des_charges_a_deduire_des_impots_fonciers_2026_av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ges à Déduire"/>
      <sheetName val="Compte d'Exploitation"/>
      <sheetName val="Bilan"/>
      <sheetName val="Trésorerie Prévisionnelle"/>
    </sheetNames>
    <sheetDataSet>
      <sheetData sheetId="0">
        <row r="12">
          <cell r="P12">
            <v>1948</v>
          </cell>
        </row>
        <row r="13">
          <cell r="P13">
            <v>1040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"/>
  <sheetViews>
    <sheetView topLeftCell="A8" zoomScale="112" zoomScaleNormal="70" workbookViewId="0">
      <selection activeCell="A11" sqref="A11"/>
    </sheetView>
  </sheetViews>
  <sheetFormatPr baseColWidth="10" defaultRowHeight="14.4" x14ac:dyDescent="0.3"/>
  <cols>
    <col min="1" max="1" width="69.33203125" customWidth="1"/>
    <col min="2" max="2" width="14.44140625" customWidth="1"/>
    <col min="3" max="3" width="49.6640625" customWidth="1"/>
    <col min="6" max="6" width="14.33203125" customWidth="1"/>
  </cols>
  <sheetData>
    <row r="1" spans="1:7" ht="23.4" x14ac:dyDescent="0.45">
      <c r="A1" s="1" t="s">
        <v>0</v>
      </c>
      <c r="B1" s="8"/>
      <c r="C1" s="9" t="s">
        <v>45</v>
      </c>
    </row>
    <row r="2" spans="1:7" x14ac:dyDescent="0.3">
      <c r="A2" s="12"/>
    </row>
    <row r="3" spans="1:7" ht="84.6" customHeight="1" x14ac:dyDescent="0.3">
      <c r="A3" s="28" t="s">
        <v>25</v>
      </c>
    </row>
    <row r="4" spans="1:7" x14ac:dyDescent="0.3">
      <c r="B4" s="18">
        <v>5671.65</v>
      </c>
      <c r="C4" s="2" t="s">
        <v>22</v>
      </c>
      <c r="D4" s="26" t="s">
        <v>26</v>
      </c>
      <c r="F4" s="3"/>
    </row>
    <row r="5" spans="1:7" x14ac:dyDescent="0.3">
      <c r="A5" s="29" t="s">
        <v>42</v>
      </c>
      <c r="B5" s="18">
        <v>1040</v>
      </c>
      <c r="C5" s="2" t="s">
        <v>14</v>
      </c>
      <c r="D5" s="26" t="s">
        <v>27</v>
      </c>
      <c r="E5" s="3"/>
    </row>
    <row r="6" spans="1:7" x14ac:dyDescent="0.3">
      <c r="B6" s="18">
        <v>1948</v>
      </c>
      <c r="C6" s="2" t="s">
        <v>15</v>
      </c>
      <c r="D6" s="26" t="s">
        <v>28</v>
      </c>
      <c r="E6" s="3"/>
    </row>
    <row r="7" spans="1:7" x14ac:dyDescent="0.3">
      <c r="A7" s="29" t="s">
        <v>39</v>
      </c>
      <c r="B7" s="18">
        <v>0</v>
      </c>
      <c r="C7" s="2" t="s">
        <v>40</v>
      </c>
      <c r="D7" s="26" t="s">
        <v>29</v>
      </c>
      <c r="E7" s="3"/>
      <c r="F7">
        <f>1800+342</f>
        <v>2142</v>
      </c>
    </row>
    <row r="8" spans="1:7" x14ac:dyDescent="0.3">
      <c r="B8" s="18">
        <v>0</v>
      </c>
      <c r="C8" s="2" t="s">
        <v>41</v>
      </c>
      <c r="D8" s="26" t="s">
        <v>30</v>
      </c>
      <c r="E8" s="3"/>
    </row>
    <row r="9" spans="1:7" x14ac:dyDescent="0.3">
      <c r="B9" s="18">
        <v>238.43</v>
      </c>
      <c r="C9" s="2" t="s">
        <v>1</v>
      </c>
      <c r="D9" s="26" t="s">
        <v>31</v>
      </c>
      <c r="E9" s="3"/>
    </row>
    <row r="10" spans="1:7" x14ac:dyDescent="0.3">
      <c r="B10" s="18">
        <v>0</v>
      </c>
      <c r="C10" s="2" t="s">
        <v>6</v>
      </c>
      <c r="D10" s="20"/>
    </row>
    <row r="11" spans="1:7" x14ac:dyDescent="0.3">
      <c r="B11" s="18">
        <v>2922.08</v>
      </c>
      <c r="C11" s="2" t="s">
        <v>43</v>
      </c>
      <c r="D11" s="26" t="s">
        <v>32</v>
      </c>
    </row>
    <row r="12" spans="1:7" x14ac:dyDescent="0.3">
      <c r="A12" s="4" t="s">
        <v>7</v>
      </c>
      <c r="B12" s="18">
        <f>(B4-B11)-((B5+B6+E19+B8)-(B7+B9+C30))</f>
        <v>0</v>
      </c>
      <c r="C12" s="5"/>
      <c r="E12" s="25"/>
      <c r="F12" s="25"/>
    </row>
    <row r="13" spans="1:7" ht="31.5" customHeight="1" x14ac:dyDescent="0.3">
      <c r="F13" s="31"/>
      <c r="G13" s="31"/>
    </row>
    <row r="14" spans="1:7" x14ac:dyDescent="0.3">
      <c r="B14" s="2"/>
      <c r="C14" s="2"/>
      <c r="D14" s="18"/>
    </row>
    <row r="15" spans="1:7" ht="33" customHeight="1" x14ac:dyDescent="0.3">
      <c r="D15" s="31"/>
      <c r="E15" s="31"/>
      <c r="F15" s="31"/>
      <c r="G15" s="31"/>
    </row>
    <row r="16" spans="1:7" ht="23.4" x14ac:dyDescent="0.45">
      <c r="A16" s="1" t="s">
        <v>13</v>
      </c>
      <c r="B16" s="8" t="s">
        <v>2</v>
      </c>
      <c r="C16" s="9" t="str">
        <f>C1</f>
        <v>A fin Avril 2026</v>
      </c>
      <c r="E16" s="3"/>
    </row>
    <row r="17" spans="1:9" x14ac:dyDescent="0.3">
      <c r="D17" s="3"/>
    </row>
    <row r="18" spans="1:9" x14ac:dyDescent="0.3">
      <c r="A18" t="s">
        <v>20</v>
      </c>
      <c r="B18" s="18">
        <f>B4</f>
        <v>5671.65</v>
      </c>
      <c r="C18" s="2" t="s">
        <v>3</v>
      </c>
      <c r="D18" s="26" t="s">
        <v>34</v>
      </c>
    </row>
    <row r="19" spans="1:9" x14ac:dyDescent="0.3">
      <c r="B19" s="18"/>
      <c r="C19" s="2"/>
      <c r="D19" s="26" t="s">
        <v>33</v>
      </c>
      <c r="E19" s="20">
        <v>0</v>
      </c>
      <c r="F19" t="s">
        <v>23</v>
      </c>
    </row>
    <row r="20" spans="1:9" x14ac:dyDescent="0.3">
      <c r="B20" s="18"/>
      <c r="C20" s="2"/>
      <c r="E20" s="20">
        <v>1971</v>
      </c>
      <c r="F20" t="s">
        <v>24</v>
      </c>
    </row>
    <row r="21" spans="1:9" x14ac:dyDescent="0.3">
      <c r="B21" s="18">
        <v>260</v>
      </c>
      <c r="C21" s="2" t="s">
        <v>4</v>
      </c>
      <c r="D21" s="26" t="s">
        <v>35</v>
      </c>
    </row>
    <row r="22" spans="1:9" ht="21" x14ac:dyDescent="0.4">
      <c r="A22" s="15" t="s">
        <v>44</v>
      </c>
      <c r="B22" s="18">
        <v>0</v>
      </c>
      <c r="C22" s="2" t="s">
        <v>11</v>
      </c>
    </row>
    <row r="23" spans="1:9" ht="35.4" customHeight="1" x14ac:dyDescent="0.3">
      <c r="A23" s="19" t="s">
        <v>36</v>
      </c>
      <c r="B23" s="25">
        <v>0</v>
      </c>
      <c r="C23" s="2" t="s">
        <v>37</v>
      </c>
      <c r="G23" s="11"/>
      <c r="H23" s="11"/>
      <c r="I23" s="11"/>
    </row>
    <row r="24" spans="1:9" x14ac:dyDescent="0.3">
      <c r="B24" s="3"/>
      <c r="G24" s="11"/>
      <c r="H24" s="11"/>
      <c r="I24" s="11"/>
    </row>
    <row r="25" spans="1:9" x14ac:dyDescent="0.3">
      <c r="B25" s="6">
        <v>0</v>
      </c>
      <c r="C25" s="7" t="s">
        <v>5</v>
      </c>
      <c r="F25" s="3"/>
      <c r="G25" s="14"/>
      <c r="H25" s="11"/>
      <c r="I25" s="11"/>
    </row>
    <row r="26" spans="1:9" x14ac:dyDescent="0.3">
      <c r="G26" s="14"/>
      <c r="H26" s="11"/>
      <c r="I26" s="11"/>
    </row>
    <row r="27" spans="1:9" x14ac:dyDescent="0.3">
      <c r="C27" s="10"/>
      <c r="D27" s="13"/>
      <c r="G27" s="27"/>
      <c r="H27" s="11"/>
      <c r="I27" s="11"/>
    </row>
    <row r="28" spans="1:9" x14ac:dyDescent="0.3">
      <c r="C28" s="10"/>
      <c r="D28" s="13"/>
    </row>
    <row r="29" spans="1:9" ht="14.4" customHeight="1" x14ac:dyDescent="0.3"/>
    <row r="30" spans="1:9" x14ac:dyDescent="0.3">
      <c r="A30" t="s">
        <v>21</v>
      </c>
      <c r="C30" s="3">
        <v>0</v>
      </c>
    </row>
  </sheetData>
  <mergeCells count="2">
    <mergeCell ref="F13:G13"/>
    <mergeCell ref="D15:G15"/>
  </mergeCells>
  <conditionalFormatting sqref="B12">
    <cfRule type="cellIs" dxfId="1" priority="3" stopIfTrue="1" operator="between">
      <formula>-0.1</formula>
      <formula>0.1</formula>
    </cfRule>
    <cfRule type="cellIs" dxfId="0" priority="4" stopIfTrue="1" operator="notBetween">
      <formula>-0.1</formula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5"/>
  <sheetViews>
    <sheetView tabSelected="1" topLeftCell="A2" workbookViewId="0">
      <selection activeCell="C26" sqref="C26"/>
    </sheetView>
  </sheetViews>
  <sheetFormatPr baseColWidth="10" defaultRowHeight="14.4" x14ac:dyDescent="0.3"/>
  <cols>
    <col min="1" max="1" width="22.5546875" customWidth="1"/>
  </cols>
  <sheetData>
    <row r="1" spans="1:9" x14ac:dyDescent="0.3">
      <c r="A1" t="s">
        <v>8</v>
      </c>
      <c r="B1" s="16">
        <v>46120</v>
      </c>
    </row>
    <row r="2" spans="1:9" x14ac:dyDescent="0.3">
      <c r="B2" s="30">
        <v>2020</v>
      </c>
      <c r="C2" s="12">
        <v>2021</v>
      </c>
      <c r="D2" s="12">
        <v>2022</v>
      </c>
      <c r="E2" s="12">
        <v>2023</v>
      </c>
      <c r="F2" s="12">
        <v>2024</v>
      </c>
      <c r="G2" s="18">
        <v>2025</v>
      </c>
      <c r="H2" s="12">
        <v>2026</v>
      </c>
      <c r="I2" s="12">
        <v>2027</v>
      </c>
    </row>
    <row r="3" spans="1:9" x14ac:dyDescent="0.3">
      <c r="A3" t="s">
        <v>17</v>
      </c>
      <c r="B3" s="18">
        <v>24097.97</v>
      </c>
      <c r="C3" s="18">
        <v>30915.48</v>
      </c>
      <c r="D3" s="18">
        <v>10480.68</v>
      </c>
      <c r="E3" s="18">
        <v>5844</v>
      </c>
      <c r="F3" s="18">
        <f>2922+(7*487)</f>
        <v>6331</v>
      </c>
      <c r="G3" s="18">
        <f>12*487</f>
        <v>5844</v>
      </c>
      <c r="H3" s="22">
        <f>4*487</f>
        <v>1948</v>
      </c>
    </row>
    <row r="4" spans="1:9" x14ac:dyDescent="0.3">
      <c r="A4" t="s">
        <v>12</v>
      </c>
      <c r="B4" s="18">
        <v>8756.92</v>
      </c>
      <c r="C4" s="18">
        <v>10530.39</v>
      </c>
      <c r="D4" s="18">
        <v>6931.67</v>
      </c>
      <c r="E4" s="18">
        <v>3120</v>
      </c>
      <c r="F4" s="18">
        <f>12*260</f>
        <v>3120</v>
      </c>
      <c r="G4" s="18">
        <f>12*260</f>
        <v>3120</v>
      </c>
      <c r="H4" s="23">
        <f>4*260</f>
        <v>1040</v>
      </c>
    </row>
    <row r="5" spans="1:9" x14ac:dyDescent="0.3">
      <c r="A5" t="s">
        <v>9</v>
      </c>
      <c r="B5" s="18">
        <v>7825.36</v>
      </c>
      <c r="C5" s="18">
        <v>9364.2900000000009</v>
      </c>
      <c r="D5" s="20">
        <v>11836.78</v>
      </c>
      <c r="E5" s="24">
        <v>8422.5499999999993</v>
      </c>
      <c r="F5" s="20">
        <v>6534</v>
      </c>
      <c r="G5" s="18">
        <v>6838.22</v>
      </c>
      <c r="H5" s="18">
        <v>178.85</v>
      </c>
    </row>
    <row r="6" spans="1:9" x14ac:dyDescent="0.3">
      <c r="A6" t="s">
        <v>4</v>
      </c>
      <c r="B6" s="18">
        <v>1802.21</v>
      </c>
      <c r="C6" s="18">
        <v>1802.21</v>
      </c>
      <c r="D6" s="18">
        <v>1232.21</v>
      </c>
      <c r="E6" s="18">
        <v>260</v>
      </c>
      <c r="F6" s="18">
        <v>260</v>
      </c>
      <c r="G6" s="18">
        <v>260</v>
      </c>
      <c r="H6" s="18">
        <v>260</v>
      </c>
    </row>
    <row r="7" spans="1:9" x14ac:dyDescent="0.3">
      <c r="A7" t="s">
        <v>16</v>
      </c>
      <c r="B7" s="20">
        <v>15610.58</v>
      </c>
      <c r="C7" s="18">
        <f>(C3+C4)-(C5)</f>
        <v>32081.579999999994</v>
      </c>
      <c r="D7" s="18">
        <f>(D3+D4)-D5</f>
        <v>5575.5699999999979</v>
      </c>
      <c r="E7" s="18">
        <f>(E3+E4)-E5</f>
        <v>541.45000000000073</v>
      </c>
      <c r="F7" s="18">
        <f>(F3+F4)-F5</f>
        <v>2917</v>
      </c>
      <c r="G7" s="18">
        <f>(G3+G4)-G5</f>
        <v>2125.7799999999997</v>
      </c>
      <c r="H7" s="18">
        <f>(H3+H4)-H5</f>
        <v>2809.15</v>
      </c>
    </row>
    <row r="10" spans="1:9" x14ac:dyDescent="0.3">
      <c r="A10" t="s">
        <v>10</v>
      </c>
      <c r="B10" s="20">
        <f>8872-2028</f>
        <v>6844</v>
      </c>
      <c r="C10" s="20">
        <v>4426</v>
      </c>
      <c r="D10" s="20">
        <v>1104</v>
      </c>
      <c r="E10" s="20">
        <v>0</v>
      </c>
      <c r="F10" s="20">
        <v>0</v>
      </c>
      <c r="G10" s="20">
        <v>0</v>
      </c>
      <c r="H10" s="20">
        <v>0</v>
      </c>
      <c r="I10" s="20"/>
    </row>
    <row r="11" spans="1:9" x14ac:dyDescent="0.3">
      <c r="B11" s="3"/>
      <c r="C11" s="3"/>
      <c r="D11" s="3"/>
    </row>
    <row r="17" spans="1:7" x14ac:dyDescent="0.3">
      <c r="B17" s="17"/>
      <c r="C17" s="17"/>
    </row>
    <row r="18" spans="1:7" x14ac:dyDescent="0.3">
      <c r="B18" s="17"/>
      <c r="C18" s="17"/>
    </row>
    <row r="19" spans="1:7" x14ac:dyDescent="0.3">
      <c r="B19" s="17"/>
      <c r="C19" s="17"/>
    </row>
    <row r="21" spans="1:7" ht="18" x14ac:dyDescent="0.35">
      <c r="A21" s="21" t="s">
        <v>38</v>
      </c>
      <c r="C21" s="20"/>
    </row>
    <row r="23" spans="1:7" x14ac:dyDescent="0.3">
      <c r="A23" t="s">
        <v>18</v>
      </c>
      <c r="B23" s="3"/>
      <c r="C23" s="23">
        <f>'[1]Charges à Déduire'!$P$13</f>
        <v>1040</v>
      </c>
    </row>
    <row r="24" spans="1:7" x14ac:dyDescent="0.3">
      <c r="G24" s="3"/>
    </row>
    <row r="25" spans="1:7" x14ac:dyDescent="0.3">
      <c r="A25" t="s">
        <v>19</v>
      </c>
      <c r="C25" s="6">
        <f>'[1]Charges à Déduire'!$P$12</f>
        <v>1948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Réconciliation</vt:lpstr>
      <vt:lpstr>Revenus annuels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2020-05-16T08:41:45Z</dcterms:created>
  <dcterms:modified xsi:type="dcterms:W3CDTF">2026-05-03T11:48:50Z</dcterms:modified>
</cp:coreProperties>
</file>